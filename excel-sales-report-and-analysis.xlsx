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66925"/>
  <xr:revisionPtr revIDLastSave="0" documentId="13_ncr:1_{45CD6AB2-37FD-49F7-835B-998310E417D6}" xr6:coauthVersionLast="47" xr6:coauthVersionMax="47" xr10:uidLastSave="{00000000-0000-0000-0000-000000000000}"/>
  <bookViews>
    <workbookView xWindow="-110" yWindow="-110" windowWidth="19420" windowHeight="10300" xr2:uid="{F1F31DDD-98AC-4891-9777-AA2D93241542}"/>
  </bookViews>
  <sheets>
    <sheet name="Cover Page" sheetId="25" r:id="rId1"/>
    <sheet name="All Sales" sheetId="1" r:id="rId2"/>
    <sheet name="North" sheetId="13" r:id="rId3"/>
    <sheet name="South" sheetId="15" r:id="rId4"/>
    <sheet name="East" sheetId="16" r:id="rId5"/>
    <sheet name="West" sheetId="17" r:id="rId6"/>
    <sheet name="Copy of All Sales" sheetId="20" r:id="rId7"/>
    <sheet name="Chart" sheetId="21" r:id="rId8"/>
    <sheet name="Sales Analysis" sheetId="23" r:id="rId9"/>
    <sheet name="New Staff" sheetId="19" r:id="rId10"/>
  </sheets>
  <externalReferences>
    <externalReference r:id="rId11"/>
  </externalReferences>
  <definedNames>
    <definedName name="_xlnm._FilterDatabase" localSheetId="1" hidden="1">'All Sales'!$A$1:$I$390</definedName>
    <definedName name="_xlnm._FilterDatabase" localSheetId="4" hidden="1">East!$A$3:$I$3</definedName>
    <definedName name="_xlnm._FilterDatabase" localSheetId="2" hidden="1">North!$A$4:$I$4</definedName>
    <definedName name="_xlnm._FilterDatabase" localSheetId="3" hidden="1">South!$A$3:$I$3</definedName>
    <definedName name="bev">[1]Sheet2!$H$7:$H$12</definedName>
    <definedName name="bg">[1]Sheet2!$H$2:$H$6</definedName>
    <definedName name="candy">[1]Sheet2!$H$13:$H$17</definedName>
    <definedName name="cmeat">[1]Sheet2!$H$22:$H$23</definedName>
    <definedName name="Co_List">[1]Sheet2!$A$2:$A$27</definedName>
    <definedName name="Commission">'All Sales'!$L$1</definedName>
    <definedName name="condiment">[1]Sheet2!$H$24:$H$27</definedName>
    <definedName name="dairyp">[1]Sheet2!$H$28:$H$32</definedName>
    <definedName name="e">[1]Sheet3!$D$6:$D$10</definedName>
    <definedName name="fandv">[1]Sheet2!$H$18:$H$21</definedName>
    <definedName name="grains">[1]Sheet2!$H$37:$H$40</definedName>
    <definedName name="jams">[1]Sheet2!$H$41:$H$43</definedName>
    <definedName name="n">[1]Sheet3!$E$6:$E$10</definedName>
    <definedName name="ne">[1]Sheet3!$G$6:$G$10</definedName>
    <definedName name="nuts">[1]Sheet2!$H$33:$H$36</definedName>
    <definedName name="nw">[1]Sheet3!$F$6:$F$10</definedName>
    <definedName name="oil">[1]Sheet2!$H$44:$H$45</definedName>
    <definedName name="pasta">[1]Sheet2!$H$46:$H$50</definedName>
    <definedName name="prod_cat">[1]Sheet2!$L$2:$L$16</definedName>
    <definedName name="pt">[1]Sheet2!$E$2:$E$4</definedName>
    <definedName name="s">[1]Sheet3!$H$6:$H$10</definedName>
    <definedName name="se">[1]Sheet3!$J$6:$J$10</definedName>
    <definedName name="Slicer_Employee">#N/A</definedName>
    <definedName name="Slicer_Sales___Area">#N/A</definedName>
    <definedName name="soup">[1]Sheet2!$H$55:$H$58</definedName>
    <definedName name="sw">[1]Sheet3!$I$6:$I$10</definedName>
    <definedName name="team">[1]Sheet2!$C$2:$C$9</definedName>
    <definedName name="w">[1]Sheet3!$C$6:$C$10</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20" l="1"/>
  <c r="J3"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F391" i="20"/>
  <c r="H390" i="20"/>
  <c r="H389" i="20"/>
  <c r="H388" i="20"/>
  <c r="H387" i="20"/>
  <c r="H386" i="20"/>
  <c r="H385" i="20"/>
  <c r="H384" i="20"/>
  <c r="H383" i="20"/>
  <c r="H382" i="20"/>
  <c r="H381"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7" i="20"/>
  <c r="H326" i="20"/>
  <c r="H325" i="20"/>
  <c r="H324"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80" i="20"/>
  <c r="H279" i="20"/>
  <c r="H278" i="20"/>
  <c r="H277" i="20"/>
  <c r="H276" i="20"/>
  <c r="H275" i="20"/>
  <c r="H274" i="20"/>
  <c r="H273" i="20"/>
  <c r="H272" i="20"/>
  <c r="H271" i="20"/>
  <c r="H270" i="20"/>
  <c r="H269" i="20"/>
  <c r="H268" i="20"/>
  <c r="H267"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H238" i="20"/>
  <c r="H237" i="20"/>
  <c r="H236" i="20"/>
  <c r="H235" i="20"/>
  <c r="H234" i="20"/>
  <c r="H233" i="20"/>
  <c r="H232" i="20"/>
  <c r="H231" i="20"/>
  <c r="H230"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H137" i="20"/>
  <c r="H136" i="20"/>
  <c r="H135" i="20"/>
  <c r="H134" i="20"/>
  <c r="H133" i="20"/>
  <c r="H132" i="20"/>
  <c r="H131" i="20"/>
  <c r="H130" i="20"/>
  <c r="H129" i="20"/>
  <c r="H128" i="20"/>
  <c r="H127" i="20"/>
  <c r="H126" i="20"/>
  <c r="H125" i="20"/>
  <c r="H124" i="20"/>
  <c r="H123" i="20"/>
  <c r="H122" i="20"/>
  <c r="H121" i="20"/>
  <c r="H120" i="20"/>
  <c r="H119" i="20"/>
  <c r="H118" i="20"/>
  <c r="H117" i="20"/>
  <c r="H116" i="20"/>
  <c r="H115" i="20"/>
  <c r="H114" i="20"/>
  <c r="H113" i="20"/>
  <c r="H112" i="20"/>
  <c r="H111" i="20"/>
  <c r="H110" i="20"/>
  <c r="H109" i="20"/>
  <c r="H108"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H72" i="20"/>
  <c r="H71" i="20"/>
  <c r="H70" i="20"/>
  <c r="H69" i="20"/>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5" i="20"/>
  <c r="H4" i="20"/>
  <c r="H3" i="20"/>
  <c r="H2" i="20"/>
  <c r="B21" i="19" a="1"/>
  <c r="B21" i="19" s="1"/>
  <c r="B20" i="19" a="1"/>
  <c r="B20" i="19" s="1"/>
  <c r="B19" i="19" a="1"/>
  <c r="B19" i="19" s="1"/>
  <c r="B18" i="19" a="1"/>
  <c r="B18" i="19" s="1"/>
  <c r="B17" i="19" a="1"/>
  <c r="B17" i="19" s="1"/>
  <c r="B16" i="19" a="1"/>
  <c r="B16" i="19" s="1"/>
  <c r="B15" i="19" a="1"/>
  <c r="B15" i="19" s="1"/>
  <c r="B14" i="19" a="1"/>
  <c r="B14" i="19" s="1"/>
  <c r="B13" i="19" a="1"/>
  <c r="B13" i="19" s="1"/>
  <c r="B12" i="19" a="1"/>
  <c r="B12" i="19" s="1"/>
  <c r="B11" i="19" a="1"/>
  <c r="B11" i="19" s="1"/>
  <c r="B10" i="19" a="1"/>
  <c r="B10" i="19" s="1"/>
  <c r="B9" i="19" a="1"/>
  <c r="B9" i="19" s="1"/>
  <c r="B8" i="19" a="1"/>
  <c r="B8" i="19" s="1"/>
  <c r="B7" i="19" a="1"/>
  <c r="B7" i="19" s="1"/>
  <c r="B6" i="19" a="1"/>
  <c r="B6" i="19" s="1"/>
  <c r="B5" i="19" a="1"/>
  <c r="B5" i="19" s="1"/>
  <c r="B4" i="19" a="1"/>
  <c r="B4" i="19" s="1"/>
  <c r="B3" i="19" a="1"/>
  <c r="B3" i="19" s="1"/>
  <c r="B2" i="19" a="1"/>
  <c r="B2" i="19" s="1"/>
  <c r="O2" i="17"/>
  <c r="N2" i="17"/>
  <c r="M2" i="17"/>
  <c r="L2" i="17"/>
  <c r="K2" i="17"/>
  <c r="O2" i="16"/>
  <c r="N2" i="16"/>
  <c r="M2" i="16"/>
  <c r="L2" i="16"/>
  <c r="K2" i="16"/>
  <c r="O2" i="15"/>
  <c r="N2" i="15"/>
  <c r="M2" i="15"/>
  <c r="L2" i="15"/>
  <c r="K2" i="15"/>
  <c r="O2" i="13"/>
  <c r="N2" i="13"/>
  <c r="M2" i="13"/>
  <c r="L2" i="13"/>
  <c r="K2" i="13"/>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13" i="1"/>
  <c r="H14" i="1"/>
  <c r="H15" i="1"/>
  <c r="H16" i="1"/>
  <c r="H17" i="1"/>
  <c r="H18" i="1"/>
  <c r="H19" i="1"/>
  <c r="H20" i="1"/>
  <c r="H21" i="1"/>
  <c r="H22" i="1"/>
  <c r="H23" i="1"/>
  <c r="H24" i="1"/>
  <c r="H25" i="1"/>
  <c r="H26" i="1"/>
  <c r="H27" i="1"/>
  <c r="H28" i="1"/>
  <c r="H29" i="1"/>
  <c r="H30" i="1"/>
  <c r="H31" i="1"/>
  <c r="H32" i="1"/>
  <c r="H33" i="1"/>
  <c r="H34" i="1"/>
  <c r="H35" i="1"/>
  <c r="H36" i="1"/>
  <c r="H3" i="1"/>
  <c r="H4" i="1"/>
  <c r="H5" i="1"/>
  <c r="H6" i="1"/>
  <c r="H7" i="1"/>
  <c r="H8" i="1"/>
  <c r="H9" i="1"/>
  <c r="H10" i="1"/>
  <c r="H11" i="1"/>
  <c r="H12" i="1"/>
  <c r="H2" i="1"/>
  <c r="J391" i="20" l="1"/>
  <c r="H391" i="20"/>
  <c r="D21" i="19"/>
  <c r="C21" i="19"/>
  <c r="D20" i="19"/>
  <c r="C20" i="19"/>
  <c r="D19" i="19"/>
  <c r="C19" i="19"/>
  <c r="D18" i="19"/>
  <c r="C18" i="19"/>
  <c r="D17" i="19"/>
  <c r="C17" i="19"/>
  <c r="D16" i="19"/>
  <c r="C16" i="19"/>
  <c r="D15" i="19"/>
  <c r="C15" i="19"/>
  <c r="D14" i="19"/>
  <c r="C14" i="19"/>
  <c r="D13" i="19"/>
  <c r="C13" i="19"/>
  <c r="D12" i="19"/>
  <c r="C12" i="19"/>
  <c r="D11" i="19"/>
  <c r="C11" i="19"/>
  <c r="D10" i="19"/>
  <c r="C10" i="19"/>
  <c r="D9" i="19"/>
  <c r="C9" i="19"/>
  <c r="D8" i="19"/>
  <c r="C8" i="19"/>
  <c r="D7" i="19"/>
  <c r="C7" i="19"/>
  <c r="D6" i="19"/>
  <c r="C6" i="19"/>
  <c r="D5" i="19"/>
  <c r="C5" i="19"/>
  <c r="D4" i="19"/>
  <c r="C4" i="19"/>
  <c r="D3" i="19"/>
  <c r="C3" i="19"/>
  <c r="D2" i="19"/>
  <c r="C2" i="19"/>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<sst xmlns="http://schemas.openxmlformats.org/spreadsheetml/2006/main" count="6537" uniqueCount="136">
  <si>
    <t>Month</t>
  </si>
  <si>
    <t>Employee</t>
  </si>
  <si>
    <t>First Name</t>
  </si>
  <si>
    <t>Last Name</t>
  </si>
  <si>
    <t>Sales Amount</t>
  </si>
  <si>
    <t>Ashley Almanza</t>
  </si>
  <si>
    <t>Ashley</t>
  </si>
  <si>
    <t>Almanza</t>
  </si>
  <si>
    <t>East</t>
  </si>
  <si>
    <t>Credit Card</t>
  </si>
  <si>
    <t>Derek Godwin</t>
  </si>
  <si>
    <t>Derek</t>
  </si>
  <si>
    <t>Godwin</t>
  </si>
  <si>
    <t>Cash</t>
  </si>
  <si>
    <t>Reza Jafari</t>
  </si>
  <si>
    <t>Reza</t>
  </si>
  <si>
    <t>Jafari</t>
  </si>
  <si>
    <t>Nina McDonald</t>
  </si>
  <si>
    <t>Nina</t>
  </si>
  <si>
    <t>McDonald</t>
  </si>
  <si>
    <t>West</t>
  </si>
  <si>
    <t>Olivia Cheung</t>
  </si>
  <si>
    <t>Olivia</t>
  </si>
  <si>
    <t>Cheung</t>
  </si>
  <si>
    <t>South</t>
  </si>
  <si>
    <t>Gordon Beswick</t>
  </si>
  <si>
    <t>Gordon</t>
  </si>
  <si>
    <t>Beswick</t>
  </si>
  <si>
    <t>Chloe Fusaro</t>
  </si>
  <si>
    <t>Chloe</t>
  </si>
  <si>
    <t>Fusaro</t>
  </si>
  <si>
    <t>North</t>
  </si>
  <si>
    <t>Annabel Mettick</t>
  </si>
  <si>
    <t>Annabel</t>
  </si>
  <si>
    <t>Mettick</t>
  </si>
  <si>
    <t>Tia Cruise</t>
  </si>
  <si>
    <t>Tia</t>
  </si>
  <si>
    <t>Cruise</t>
  </si>
  <si>
    <t>Jonah Seitz</t>
  </si>
  <si>
    <t>Jonah</t>
  </si>
  <si>
    <t>Seitz</t>
  </si>
  <si>
    <t>On Account</t>
  </si>
  <si>
    <t>Ally Bryant</t>
  </si>
  <si>
    <t>Ally</t>
  </si>
  <si>
    <t>Bryant</t>
  </si>
  <si>
    <t>Emily Whelan</t>
  </si>
  <si>
    <t>Emily</t>
  </si>
  <si>
    <t>Whelan</t>
  </si>
  <si>
    <t>Jason Jackaki</t>
  </si>
  <si>
    <t>Jason</t>
  </si>
  <si>
    <t>Jackaki</t>
  </si>
  <si>
    <t>Josh Sutherland</t>
  </si>
  <si>
    <t>Josh</t>
  </si>
  <si>
    <t>Sutherland</t>
  </si>
  <si>
    <t>Cory Goodwin</t>
  </si>
  <si>
    <t>Cory</t>
  </si>
  <si>
    <t>Goodwin</t>
  </si>
  <si>
    <t>David Wilkinson</t>
  </si>
  <si>
    <t>David</t>
  </si>
  <si>
    <t>Wilkinson</t>
  </si>
  <si>
    <t>Charlotte Edwards</t>
  </si>
  <si>
    <t>Charlotte</t>
  </si>
  <si>
    <t>Edwards</t>
  </si>
  <si>
    <t>Spencer Cruz</t>
  </si>
  <si>
    <t>Spencer</t>
  </si>
  <si>
    <t>Cruz</t>
  </si>
  <si>
    <t>Bryan Maldonado</t>
  </si>
  <si>
    <t>Bryan</t>
  </si>
  <si>
    <t>Maldonado</t>
  </si>
  <si>
    <t>Sarah Gibbs</t>
  </si>
  <si>
    <t>Sarah</t>
  </si>
  <si>
    <t>Gibbs</t>
  </si>
  <si>
    <t>January</t>
  </si>
  <si>
    <t>February</t>
  </si>
  <si>
    <t>March</t>
  </si>
  <si>
    <t>April</t>
  </si>
  <si>
    <t>May</t>
  </si>
  <si>
    <t>June</t>
  </si>
  <si>
    <t>July</t>
  </si>
  <si>
    <t>August</t>
  </si>
  <si>
    <t>September</t>
  </si>
  <si>
    <t>October</t>
  </si>
  <si>
    <t>November</t>
  </si>
  <si>
    <t>December</t>
  </si>
  <si>
    <t>Sales   Area</t>
  </si>
  <si>
    <t>Target</t>
  </si>
  <si>
    <t>Commission</t>
  </si>
  <si>
    <t>Commission:</t>
  </si>
  <si>
    <t>$_</t>
  </si>
  <si>
    <t>2021 - Sales - North</t>
  </si>
  <si>
    <t>2021 - Sales - East</t>
  </si>
  <si>
    <t>2021 - Sales - West</t>
  </si>
  <si>
    <t>Payment  Type</t>
  </si>
  <si>
    <t>Over/Under</t>
  </si>
  <si>
    <t>Total</t>
  </si>
  <si>
    <t>Payment Type</t>
  </si>
  <si>
    <t>2021 - Sales - South</t>
  </si>
  <si>
    <t>Sale Area</t>
  </si>
  <si>
    <t>Sales Area</t>
  </si>
  <si>
    <t>BRITTANY_GAULT_NE12192</t>
  </si>
  <si>
    <t>NICOLE_MAIER_NE11021</t>
  </si>
  <si>
    <t>CLAY_CORBIN_NE10264</t>
  </si>
  <si>
    <t>ASHLEY_DELANGE_NE10305</t>
  </si>
  <si>
    <t>JENNIFER_VAZQUEZ_NE11114</t>
  </si>
  <si>
    <t>MANNY_WEBSTER_NW10414</t>
  </si>
  <si>
    <t>LUKE_REDENBAUGH_NW12041</t>
  </si>
  <si>
    <t>DEBBIE_GODOY_NW11115</t>
  </si>
  <si>
    <t>ELIZABETH_LAMBERT_NW11651</t>
  </si>
  <si>
    <t>JOEL_JONES_NW11838</t>
  </si>
  <si>
    <t>EBONY_PANE_SE11625</t>
  </si>
  <si>
    <t>RILEY_SWEENY_SE12053</t>
  </si>
  <si>
    <t>ALEX_WARD_SE10902</t>
  </si>
  <si>
    <t>PAT_HANKS_SE10360</t>
  </si>
  <si>
    <t>JESSICA_CRAIG_SE12143</t>
  </si>
  <si>
    <t>JAMIE_WELCH_SW10859</t>
  </si>
  <si>
    <t>DREW_WOMACK_SW10377</t>
  </si>
  <si>
    <t>ANGELA_MACLEOD_SW10649</t>
  </si>
  <si>
    <t>KAREN_D'AGUILAR_SW10604</t>
  </si>
  <si>
    <t>SAM_JESSUP_SW10730</t>
  </si>
  <si>
    <t xml:space="preserve">         Payment           Type</t>
  </si>
  <si>
    <t xml:space="preserve">    Payment Type</t>
  </si>
  <si>
    <t>Team</t>
  </si>
  <si>
    <t>Sales</t>
  </si>
  <si>
    <t>Grand Total</t>
  </si>
  <si>
    <t>Sales Totals</t>
  </si>
  <si>
    <t>% of Grand Totals</t>
  </si>
  <si>
    <t>Contents:</t>
  </si>
  <si>
    <t>All Sales</t>
  </si>
  <si>
    <t>Copy of All Sales</t>
  </si>
  <si>
    <t>Chart</t>
  </si>
  <si>
    <t>Sales Analysis</t>
  </si>
  <si>
    <t>2021  SALES REPORT</t>
  </si>
  <si>
    <t>New Staff</t>
  </si>
  <si>
    <t>Back to Cover Page</t>
  </si>
  <si>
    <t>Team results</t>
  </si>
  <si>
    <t>Payroll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</si>
</sst>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DA&quot;_-;\-* #,##0.00\ &quot;DA&quot;_-;_-* &quot;-&quot;??\ &quot;DA&quot;_-;_-@_-"/>
    <numFmt numFmtId="165" formatCode="[$$-409]#,##0.00"/>
    <numFmt numFmtId="166" formatCode="_-[$$-409]* #,##0.00_ ;_-[$$-409]* \-#,##0.00\ ;_-[$$-409]* &quot;-&quot;??_ ;_-@_ "/>
  </numFmts>
  <fonts count="11" x14ac:knownFonts="1">
    <font>
      <sz val="11"/>
      <color theme="1"/>
      <name val="Calibri"/>
      <family val="2"/>
      <scheme val="minor"/>
    </font>
    <font>
      <sz val="11"/>
      <color theme="1"/>
      <name val="Calibri"/>
      <family val="2"/>
      <scheme val="minor"/>
    </font>
    <font>
      <b/>
      <sz val="16"/>
      <color theme="4"/>
      <name val="Calibri"/>
      <family val="2"/>
      <scheme val="minor"/>
    </font>
    <font>
      <b/>
      <sz val="16"/>
      <color theme="1"/>
      <name val="Calibri"/>
      <family val="2"/>
      <scheme val="minor"/>
    </font>
    <font>
      <sz val="12"/>
      <color theme="1"/>
      <name val="Calibri"/>
      <family val="2"/>
      <scheme val="minor"/>
    </font>
    <font>
      <b/>
      <sz val="18"/>
      <color theme="8" tint="-0.249977111117893"/>
      <name val="Calibri"/>
      <family val="2"/>
      <scheme val="minor"/>
    </font>
    <font>
      <b/>
      <sz val="16"/>
      <color theme="0"/>
      <name val="Calibri"/>
      <family val="2"/>
      <scheme val="minor"/>
    </font>
    <font>
      <b/>
      <sz val="14"/>
      <color theme="4" tint="-0.499984740745262"/>
      <name val="Calibri"/>
      <family val="2"/>
      <scheme val="minor"/>
    </font>
    <font>
      <sz val="11"/>
      <color theme="0"/>
      <name val="Calibri"/>
      <family val="2"/>
      <scheme val="minor"/>
    </font>
    <font>
      <sz val="36"/>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theme="9" tint="0.59999389629810485"/>
        <bgColor indexed="64"/>
      </patternFill>
    </fill>
    <fill>
      <patternFill patternType="solid">
        <fgColor rgb="FFDDECD4"/>
        <bgColor indexed="64"/>
      </patternFill>
    </fill>
    <fill>
      <patternFill patternType="solid">
        <fgColor theme="4"/>
        <bgColor indexed="64"/>
      </patternFill>
    </fill>
  </fills>
  <borders count="6">
    <border>
      <left/>
      <right/>
      <top/>
      <bottom/>
      <diagonal/>
    </border>
    <border>
      <left/>
      <right/>
      <top/>
      <bottom style="thick">
        <color theme="4" tint="0.39997558519241921"/>
      </bottom>
      <diagonal/>
    </border>
    <border>
      <left style="thin">
        <color indexed="64"/>
      </left>
      <right style="thin">
        <color indexed="64"/>
      </right>
      <top style="thin">
        <color indexed="64"/>
      </top>
      <bottom style="thin">
        <color indexed="64"/>
      </bottom>
      <diagonal/>
    </border>
    <border>
      <left/>
      <right/>
      <top/>
      <bottom style="medium">
        <color theme="8" tint="0.39997558519241921"/>
      </bottom>
      <diagonal/>
    </border>
    <border>
      <left/>
      <right/>
      <top/>
      <bottom style="thick">
        <color theme="4"/>
      </bottom>
      <diagonal/>
    </border>
    <border>
      <left/>
      <right/>
      <top style="thick">
        <color theme="4"/>
      </top>
      <bottom style="thick">
        <color theme="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0" fontId="10" fillId="0" borderId="0" applyNumberFormat="0" applyFill="0" applyBorder="0" applyAlignment="0" applyProtection="0"/>
  </cellStyleXfs>
  <cellXfs count="37">
    <xf numFmtId="0" fontId="0" fillId="0" borderId="0" xfId="0"/>
    <xf numFmtId="14" fontId="0" fillId="0" borderId="0" xfId="0" applyNumberFormat="1"/>
    <xf numFmtId="17" fontId="0" fillId="0" borderId="0" xfId="0" applyNumberFormat="1"/>
    <xf numFmtId="165" fontId="0" fillId="0" borderId="0" xfId="0" applyNumberFormat="1" applyAlignment="1">
      <alignment horizontal="center"/>
    </xf>
    <xf numFmtId="0" fontId="0" fillId="0" borderId="0" xfId="0" applyAlignment="1">
      <alignment vertical="center"/>
    </xf>
    <xf numFmtId="165" fontId="2" fillId="0" borderId="0" xfId="0" applyNumberFormat="1" applyFont="1" applyAlignment="1">
      <alignment horizontal="center"/>
    </xf>
    <xf numFmtId="9" fontId="0" fillId="0" borderId="0" xfId="1" applyFont="1" applyAlignment="1">
      <alignment horizontal="right"/>
    </xf>
    <xf numFmtId="0" fontId="2" fillId="0" borderId="1" xfId="0" applyFont="1" applyBorder="1" applyAlignment="1">
      <alignment horizontal="center" vertical="center" wrapText="1"/>
    </xf>
    <xf numFmtId="165" fontId="2" fillId="0" borderId="1" xfId="0" applyNumberFormat="1" applyFont="1" applyBorder="1" applyAlignment="1">
      <alignment horizontal="center" vertical="center" wrapText="1"/>
    </xf>
    <xf numFmtId="0" fontId="0" fillId="0" borderId="0" xfId="0" applyAlignment="1">
      <alignment horizontal="center"/>
    </xf>
    <xf numFmtId="0" fontId="2" fillId="0" borderId="1" xfId="0" applyFont="1" applyBorder="1" applyAlignment="1">
      <alignment horizontal="center" vertical="center"/>
    </xf>
    <xf numFmtId="0" fontId="3" fillId="2" borderId="0" xfId="0" applyFont="1" applyFill="1"/>
    <xf numFmtId="165" fontId="2" fillId="0" borderId="1" xfId="0" applyNumberFormat="1" applyFont="1" applyBorder="1" applyAlignment="1">
      <alignment horizontal="center" vertical="center"/>
    </xf>
    <xf numFmtId="0" fontId="3" fillId="2" borderId="0" xfId="0" applyFont="1" applyFill="1" applyAlignment="1">
      <alignment vertical="center"/>
    </xf>
    <xf numFmtId="0" fontId="5" fillId="2" borderId="0" xfId="0" applyFont="1" applyFill="1" applyAlignment="1">
      <alignment vertical="center"/>
    </xf>
    <xf numFmtId="0" fontId="2" fillId="0" borderId="0" xfId="0" applyFont="1" applyAlignment="1">
      <alignment horizontal="center" vertical="center"/>
    </xf>
    <xf numFmtId="165" fontId="2" fillId="0" borderId="0" xfId="0" applyNumberFormat="1" applyFont="1" applyAlignment="1">
      <alignment horizontal="center" vertical="center"/>
    </xf>
    <xf numFmtId="165" fontId="0" fillId="0" borderId="0" xfId="0" applyNumberFormat="1"/>
    <xf numFmtId="0" fontId="0" fillId="0" borderId="0" xfId="0" applyAlignment="1">
      <alignment horizontal="center" vertical="center"/>
    </xf>
    <xf numFmtId="166" fontId="0" fillId="0" borderId="0" xfId="2" applyNumberFormat="1" applyFont="1"/>
    <xf numFmtId="165" fontId="0" fillId="0" borderId="0" xfId="2" applyNumberFormat="1" applyFont="1"/>
    <xf numFmtId="0" fontId="0" fillId="4" borderId="2" xfId="0" applyFill="1" applyBorder="1"/>
    <xf numFmtId="0" fontId="4" fillId="3" borderId="2" xfId="0" applyFont="1" applyFill="1" applyBorder="1" applyAlignment="1">
      <alignment horizontal="left" vertical="center"/>
    </xf>
    <xf numFmtId="0" fontId="2" fillId="0" borderId="1" xfId="0" applyFont="1" applyBorder="1" applyAlignment="1">
      <alignment horizontal="left" vertical="center" wrapText="1" indent="1"/>
    </xf>
    <xf numFmtId="0" fontId="6" fillId="5" borderId="1" xfId="0" applyFont="1" applyFill="1" applyBorder="1" applyAlignment="1">
      <alignment horizontal="left" vertical="center" wrapText="1" indent="1"/>
    </xf>
    <xf numFmtId="0" fontId="6" fillId="5" borderId="1" xfId="0" applyFont="1" applyFill="1" applyBorder="1" applyAlignment="1">
      <alignment horizontal="left" vertical="center" wrapText="1"/>
    </xf>
    <xf numFmtId="165" fontId="6" fillId="5" borderId="1" xfId="0" applyNumberFormat="1" applyFont="1" applyFill="1" applyBorder="1" applyAlignment="1">
      <alignment horizontal="left" vertical="center" wrapText="1"/>
    </xf>
    <xf numFmtId="0" fontId="7" fillId="0" borderId="3" xfId="0" applyFont="1" applyBorder="1"/>
    <xf numFmtId="0" fontId="0" fillId="0" borderId="0" xfId="0" pivotButton="1"/>
    <xf numFmtId="17" fontId="0" fillId="0" borderId="0" xfId="0" applyNumberFormat="1" applyAlignment="1">
      <alignment horizontal="left"/>
    </xf>
    <xf numFmtId="10" fontId="0" fillId="0" borderId="0" xfId="0" applyNumberFormat="1"/>
    <xf numFmtId="0" fontId="0" fillId="0" borderId="4" xfId="0" applyBorder="1"/>
    <xf numFmtId="0" fontId="9" fillId="0" borderId="5" xfId="0" applyFont="1" applyBorder="1" applyAlignment="1">
      <alignment vertical="center"/>
    </xf>
    <xf numFmtId="0" fontId="10" fillId="0" borderId="0" xfId="3"/>
    <xf numFmtId="0" fontId="10" fillId="0" borderId="0" xfId="3" quotePrefix="1"/>
    <xf numFmtId="0" fontId="0" fillId="0" borderId="5" xfId="0" applyBorder="1"/>
    <xf numFmtId="0" fontId="8" fillId="2" borderId="0" xfId="0" applyFont="1" applyFill="1"/>
  </cellXfs>
  <cellStyles count="4">
    <cellStyle name="Currency" xfId="2" builtinId="4"/>
    <cellStyle name="Hyperlink" xfId="3" builtinId="8"/>
    <cellStyle name="Normal" xfId="0" builtinId="0"/>
    <cellStyle name="Percent" xfId="1" builtinId="5"/>
  </cellStyles>
  <dxfs count="18">
    <dxf>
      <font>
        <color rgb="FFFF0000"/>
      </font>
    </dxf>
    <dxf>
      <font>
        <color rgb="FFFF000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5" formatCode="[$$-409]#,##0.0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22" formatCode="mmm\-yy"/>
    </dxf>
    <dxf>
      <alignment horizontal="center" vertical="bottom" textRotation="0" wrapText="0" indent="0" justifyLastLine="0" shrinkToFit="0" readingOrder="0"/>
    </dxf>
    <dxf>
      <border outline="0">
        <bottom style="thick">
          <color theme="4" tint="0.39997558519241921"/>
        </bottom>
      </border>
    </dxf>
    <dxf>
      <font>
        <b/>
        <i val="0"/>
        <strike val="0"/>
        <condense val="0"/>
        <extend val="0"/>
        <outline val="0"/>
        <shadow val="0"/>
        <u val="none"/>
        <vertAlign val="baseline"/>
        <sz val="16"/>
        <color theme="0"/>
        <name val="Calibri"/>
        <family val="2"/>
        <scheme val="minor"/>
      </font>
      <numFmt numFmtId="165" formatCode="[$$-409]#,##0.00"/>
      <fill>
        <patternFill patternType="solid">
          <fgColor indexed="64"/>
          <bgColor theme="4"/>
        </patternFill>
      </fill>
      <alignment horizontal="left" vertical="center" textRotation="0" wrapText="1" indent="0" justifyLastLine="0" shrinkToFit="0" readingOrder="0"/>
    </dxf>
  </dxfs>
  <tableStyles count="0" defaultTableStyle="TableStyleMedium2" defaultPivotStyle="PivotStyleLight16"/>
  <colors>
    <mruColors>
      <color rgb="FFDDECD4"/>
      <color rgb="FFA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Sales 2021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fr-DZ"/>
        </a:p>
      </c:txPr>
    </c:title>
    <c:autoTitleDeleted val="0"/>
    <c:plotArea>
      <c:layout/>
      <c:barChart>
        <c:barDir val="col"/>
        <c:grouping val="clustered"/>
        <c:varyColors val="0"/>
        <c:ser>
          <c:idx val="0"/>
          <c:order val="0"/>
          <c:tx>
            <c:strRef>
              <c:f>Chart!$B$1</c:f>
              <c:strCache>
                <c:ptCount val="1"/>
                <c:pt idx="0">
                  <c:v>Sales</c:v>
                </c:pt>
              </c:strCache>
            </c:strRef>
          </c:tx>
          <c:spPr>
            <a:solidFill>
              <a:schemeClr val="accent1">
                <a:alpha val="70000"/>
              </a:schemeClr>
            </a:solidFill>
            <a:ln>
              <a:noFill/>
            </a:ln>
            <a:effectLst/>
          </c:spPr>
          <c:invertIfNegative val="0"/>
          <c:cat>
            <c:strRef>
              <c:f>Chart!$A$2:$A$5</c:f>
              <c:strCache>
                <c:ptCount val="4"/>
                <c:pt idx="0">
                  <c:v>North</c:v>
                </c:pt>
                <c:pt idx="1">
                  <c:v>South</c:v>
                </c:pt>
                <c:pt idx="2">
                  <c:v>East</c:v>
                </c:pt>
                <c:pt idx="3">
                  <c:v>West</c:v>
                </c:pt>
              </c:strCache>
            </c:strRef>
          </c:cat>
          <c:val>
            <c:numRef>
              <c:f>Chart!$B$2:$B$5</c:f>
              <c:numCache>
                <c:formatCode>_-[$$-409]* #,##0.00_ ;_-[$$-409]* \-#,##0.00\ ;_-[$$-409]* "-"??_ ;_-@_ </c:formatCode>
                <c:ptCount val="4"/>
                <c:pt idx="0">
                  <c:v>1945833.2</c:v>
                </c:pt>
                <c:pt idx="1">
                  <c:v>1812496.3</c:v>
                </c:pt>
                <c:pt idx="2">
                  <c:v>1805833.6</c:v>
                </c:pt>
                <c:pt idx="3">
                  <c:v>1722387.9</c:v>
                </c:pt>
              </c:numCache>
            </c:numRef>
          </c:val>
          <c:extLst>
            <c:ext xmlns:c16="http://schemas.microsoft.com/office/drawing/2014/chart" uri="{C3380CC4-5D6E-409C-BE32-E72D297353CC}">
              <c16:uniqueId val="{00000000-D7BE-4738-BFED-F51A22B4B214}"/>
            </c:ext>
          </c:extLst>
        </c:ser>
        <c:ser>
          <c:idx val="1"/>
          <c:order val="1"/>
          <c:tx>
            <c:strRef>
              <c:f>Chart!$C$1</c:f>
              <c:strCache>
                <c:ptCount val="1"/>
                <c:pt idx="0">
                  <c:v>Commission</c:v>
                </c:pt>
              </c:strCache>
            </c:strRef>
          </c:tx>
          <c:spPr>
            <a:solidFill>
              <a:schemeClr val="accent6">
                <a:lumMod val="40000"/>
                <a:lumOff val="60000"/>
              </a:schemeClr>
            </a:solidFill>
            <a:ln>
              <a:solidFill>
                <a:schemeClr val="accent6">
                  <a:lumMod val="40000"/>
                  <a:lumOff val="60000"/>
                </a:schemeClr>
              </a:solidFill>
            </a:ln>
            <a:effectLst/>
          </c:spPr>
          <c:invertIfNegative val="0"/>
          <c:cat>
            <c:strRef>
              <c:f>Chart!$A$2:$A$5</c:f>
              <c:strCache>
                <c:ptCount val="4"/>
                <c:pt idx="0">
                  <c:v>North</c:v>
                </c:pt>
                <c:pt idx="1">
                  <c:v>South</c:v>
                </c:pt>
                <c:pt idx="2">
                  <c:v>East</c:v>
                </c:pt>
                <c:pt idx="3">
                  <c:v>West</c:v>
                </c:pt>
              </c:strCache>
            </c:strRef>
          </c:cat>
          <c:val>
            <c:numRef>
              <c:f>Chart!$C$2:$C$5</c:f>
              <c:numCache>
                <c:formatCode>_-[$$-409]* #,##0.00_ ;_-[$$-409]* \-#,##0.00\ ;_-[$$-409]* "-"??_ ;_-@_ </c:formatCode>
                <c:ptCount val="4"/>
                <c:pt idx="0">
                  <c:v>157168.13</c:v>
                </c:pt>
                <c:pt idx="1">
                  <c:v>138522.42000000001</c:v>
                </c:pt>
                <c:pt idx="2">
                  <c:v>147698.53</c:v>
                </c:pt>
                <c:pt idx="3">
                  <c:v>128660.96</c:v>
                </c:pt>
              </c:numCache>
            </c:numRef>
          </c:val>
          <c:extLst>
            <c:ext xmlns:c16="http://schemas.microsoft.com/office/drawing/2014/chart" uri="{C3380CC4-5D6E-409C-BE32-E72D297353CC}">
              <c16:uniqueId val="{00000001-D7BE-4738-BFED-F51A22B4B214}"/>
            </c:ext>
          </c:extLst>
        </c:ser>
        <c:dLbls>
          <c:showLegendKey val="0"/>
          <c:showVal val="0"/>
          <c:showCatName val="0"/>
          <c:showSerName val="0"/>
          <c:showPercent val="0"/>
          <c:showBubbleSize val="0"/>
        </c:dLbls>
        <c:gapWidth val="80"/>
        <c:overlap val="25"/>
        <c:axId val="1013443872"/>
        <c:axId val="1013442432"/>
      </c:barChart>
      <c:catAx>
        <c:axId val="10134438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fr-DZ"/>
          </a:p>
        </c:txPr>
        <c:crossAx val="1013442432"/>
        <c:crosses val="autoZero"/>
        <c:auto val="1"/>
        <c:lblAlgn val="ctr"/>
        <c:lblOffset val="100"/>
        <c:noMultiLvlLbl val="0"/>
      </c:catAx>
      <c:valAx>
        <c:axId val="1013442432"/>
        <c:scaling>
          <c:orientation val="minMax"/>
        </c:scaling>
        <c:delete val="0"/>
        <c:axPos val="l"/>
        <c:majorGridlines>
          <c:spPr>
            <a:ln w="9525" cap="flat" cmpd="sng" algn="ctr">
              <a:solidFill>
                <a:schemeClr val="tx1">
                  <a:lumMod val="5000"/>
                  <a:lumOff val="9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fr-DZ"/>
          </a:p>
        </c:txPr>
        <c:crossAx val="101344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DZ"/>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fr-D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571498</xdr:colOff>
      <xdr:row>4</xdr:row>
      <xdr:rowOff>14816</xdr:rowOff>
    </xdr:from>
    <xdr:to>
      <xdr:col>16</xdr:col>
      <xdr:colOff>31749</xdr:colOff>
      <xdr:row>22</xdr:row>
      <xdr:rowOff>185816</xdr:rowOff>
    </xdr:to>
    <xdr:graphicFrame macro="">
      <xdr:nvGraphicFramePr>
        <xdr:cNvPr id="2" name="Chart 1">
          <a:extLst>
            <a:ext uri="{FF2B5EF4-FFF2-40B4-BE49-F238E27FC236}">
              <a16:creationId xmlns:a16="http://schemas.microsoft.com/office/drawing/2014/main" id="{4E44C424-C5B5-E2B2-0029-203C33755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600075</xdr:colOff>
      <xdr:row>2</xdr:row>
      <xdr:rowOff>180975</xdr:rowOff>
    </xdr:from>
    <xdr:to>
      <xdr:col>14</xdr:col>
      <xdr:colOff>600075</xdr:colOff>
      <xdr:row>16</xdr:row>
      <xdr:rowOff>38100</xdr:rowOff>
    </xdr:to>
    <mc:AlternateContent xmlns:mc="http://schemas.openxmlformats.org/markup-compatibility/2006" xmlns:a14="http://schemas.microsoft.com/office/drawing/2010/main">
      <mc:Choice Requires="a14">
        <xdr:graphicFrame macro="">
          <xdr:nvGraphicFramePr>
            <xdr:cNvPr id="2" name="Employee">
              <a:extLst>
                <a:ext uri="{FF2B5EF4-FFF2-40B4-BE49-F238E27FC236}">
                  <a16:creationId xmlns:a16="http://schemas.microsoft.com/office/drawing/2014/main" id="{208E9105-998C-2BBA-556D-6FE5B58FFF5C}"/>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8905875" y="561975"/>
              <a:ext cx="1828800" cy="2524125"/>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561975</xdr:colOff>
      <xdr:row>3</xdr:row>
      <xdr:rowOff>1</xdr:rowOff>
    </xdr:from>
    <xdr:to>
      <xdr:col>8</xdr:col>
      <xdr:colOff>561975</xdr:colOff>
      <xdr:row>10</xdr:row>
      <xdr:rowOff>133351</xdr:rowOff>
    </xdr:to>
    <mc:AlternateContent xmlns:mc="http://schemas.openxmlformats.org/markup-compatibility/2006" xmlns:a14="http://schemas.microsoft.com/office/drawing/2010/main">
      <mc:Choice Requires="a14">
        <xdr:graphicFrame macro="">
          <xdr:nvGraphicFramePr>
            <xdr:cNvPr id="3" name="Sales   Area">
              <a:extLst>
                <a:ext uri="{FF2B5EF4-FFF2-40B4-BE49-F238E27FC236}">
                  <a16:creationId xmlns:a16="http://schemas.microsoft.com/office/drawing/2014/main" id="{31EB7786-68DD-EC96-A8A1-5814AF78E0AD}"/>
                </a:ext>
              </a:extLst>
            </xdr:cNvPr>
            <xdr:cNvGraphicFramePr/>
          </xdr:nvGraphicFramePr>
          <xdr:xfrm>
            <a:off x="0" y="0"/>
            <a:ext cx="0" cy="0"/>
          </xdr:xfrm>
          <a:graphic>
            <a:graphicData uri="http://schemas.microsoft.com/office/drawing/2010/slicer">
              <sle:slicer xmlns:sle="http://schemas.microsoft.com/office/drawing/2010/slicer" name="Sales   Area"/>
            </a:graphicData>
          </a:graphic>
        </xdr:graphicFrame>
      </mc:Choice>
      <mc:Fallback xmlns="">
        <xdr:sp macro="" textlink="">
          <xdr:nvSpPr>
            <xdr:cNvPr id="0" name=""/>
            <xdr:cNvSpPr>
              <a:spLocks noTextEdit="1"/>
            </xdr:cNvSpPr>
          </xdr:nvSpPr>
          <xdr:spPr>
            <a:xfrm>
              <a:off x="5210175" y="571501"/>
              <a:ext cx="1828800" cy="1466850"/>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dge\Documents\Work\SureSkills\Coursera\data%20bl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2">
          <cell r="A2" t="str">
            <v>Company_A</v>
          </cell>
          <cell r="C2" t="str">
            <v>West</v>
          </cell>
          <cell r="E2" t="str">
            <v>Cash</v>
          </cell>
          <cell r="H2" t="str">
            <v>Cookies</v>
          </cell>
          <cell r="L2" t="str">
            <v>Candy</v>
          </cell>
        </row>
        <row r="3">
          <cell r="A3" t="str">
            <v>Company_B</v>
          </cell>
          <cell r="C3" t="str">
            <v>East</v>
          </cell>
          <cell r="E3" t="str">
            <v>Credit Card</v>
          </cell>
          <cell r="H3" t="str">
            <v>Scones</v>
          </cell>
          <cell r="L3" t="str">
            <v>Baked Goods &amp; Mixes</v>
          </cell>
        </row>
        <row r="4">
          <cell r="A4" t="str">
            <v>Company_C</v>
          </cell>
          <cell r="C4" t="str">
            <v>NorthWest</v>
          </cell>
          <cell r="E4" t="str">
            <v>On Account</v>
          </cell>
          <cell r="H4" t="str">
            <v>Biscuits</v>
          </cell>
          <cell r="L4" t="str">
            <v>Beverages</v>
          </cell>
        </row>
        <row r="5">
          <cell r="A5" t="str">
            <v>Company_D</v>
          </cell>
          <cell r="C5" t="str">
            <v>NorthEast</v>
          </cell>
          <cell r="H5" t="str">
            <v>Brownies</v>
          </cell>
          <cell r="L5" t="str">
            <v>Candy</v>
          </cell>
        </row>
        <row r="6">
          <cell r="A6" t="str">
            <v>Company_E</v>
          </cell>
          <cell r="C6" t="str">
            <v>South</v>
          </cell>
          <cell r="H6" t="str">
            <v>Chocolate Cake</v>
          </cell>
          <cell r="L6" t="str">
            <v>Canned Fruit &amp; Vegetables</v>
          </cell>
        </row>
        <row r="7">
          <cell r="A7" t="str">
            <v>Company_F</v>
          </cell>
          <cell r="C7" t="str">
            <v>SouthWest</v>
          </cell>
          <cell r="H7" t="str">
            <v>Coffee</v>
          </cell>
          <cell r="L7" t="str">
            <v>Canned Meat</v>
          </cell>
        </row>
        <row r="8">
          <cell r="A8" t="str">
            <v>Company_G</v>
          </cell>
          <cell r="C8" t="str">
            <v>WouthEast</v>
          </cell>
          <cell r="H8" t="str">
            <v>Chai</v>
          </cell>
          <cell r="L8" t="str">
            <v>Condiments</v>
          </cell>
        </row>
        <row r="9">
          <cell r="A9" t="str">
            <v>Company_H</v>
          </cell>
          <cell r="C9" t="str">
            <v>North</v>
          </cell>
          <cell r="H9" t="str">
            <v>Decaf Coffee</v>
          </cell>
          <cell r="L9" t="str">
            <v>Dairy Products</v>
          </cell>
        </row>
        <row r="10">
          <cell r="A10" t="str">
            <v>Company_I</v>
          </cell>
          <cell r="H10" t="str">
            <v>Tea</v>
          </cell>
          <cell r="L10" t="str">
            <v>Dried Fruit &amp; Nuts</v>
          </cell>
        </row>
        <row r="11">
          <cell r="A11" t="str">
            <v>Company_J</v>
          </cell>
          <cell r="H11" t="str">
            <v>Decaf Tea</v>
          </cell>
          <cell r="L11" t="str">
            <v>Grains</v>
          </cell>
        </row>
        <row r="12">
          <cell r="A12" t="str">
            <v>Company_K</v>
          </cell>
          <cell r="H12" t="str">
            <v>Green Tea</v>
          </cell>
          <cell r="L12" t="str">
            <v>Jams, Preserves</v>
          </cell>
        </row>
        <row r="13">
          <cell r="A13" t="str">
            <v>Company_L</v>
          </cell>
          <cell r="H13" t="str">
            <v>Chocolates</v>
          </cell>
          <cell r="L13" t="str">
            <v>Oil</v>
          </cell>
        </row>
        <row r="14">
          <cell r="A14" t="str">
            <v>Company_M</v>
          </cell>
          <cell r="H14" t="str">
            <v>Jellies</v>
          </cell>
          <cell r="L14" t="str">
            <v>Pasta</v>
          </cell>
        </row>
        <row r="15">
          <cell r="A15" t="str">
            <v>Company_N</v>
          </cell>
          <cell r="H15" t="str">
            <v>Marshmallows</v>
          </cell>
          <cell r="L15" t="str">
            <v>Sauces</v>
          </cell>
        </row>
        <row r="16">
          <cell r="A16" t="str">
            <v>Company_O</v>
          </cell>
          <cell r="H16" t="str">
            <v>Liquerice</v>
          </cell>
          <cell r="L16" t="str">
            <v>Soups</v>
          </cell>
        </row>
        <row r="17">
          <cell r="A17" t="str">
            <v>Company_P</v>
          </cell>
          <cell r="H17" t="str">
            <v>Mints</v>
          </cell>
        </row>
        <row r="18">
          <cell r="A18" t="str">
            <v>Company_Q</v>
          </cell>
          <cell r="H18" t="str">
            <v>Fruit Cocktail</v>
          </cell>
        </row>
        <row r="19">
          <cell r="A19" t="str">
            <v>Company_R</v>
          </cell>
          <cell r="H19" t="str">
            <v>Sweetcorn</v>
          </cell>
        </row>
        <row r="20">
          <cell r="A20" t="str">
            <v>Company_S</v>
          </cell>
          <cell r="H20" t="str">
            <v>Baked Beans</v>
          </cell>
        </row>
        <row r="21">
          <cell r="A21" t="str">
            <v>Company_T</v>
          </cell>
          <cell r="H21" t="str">
            <v>Pineapple</v>
          </cell>
        </row>
        <row r="22">
          <cell r="A22" t="str">
            <v>Company_U</v>
          </cell>
          <cell r="H22" t="str">
            <v>Crab Meat</v>
          </cell>
        </row>
        <row r="23">
          <cell r="A23" t="str">
            <v>Company_V</v>
          </cell>
          <cell r="H23" t="str">
            <v>Tune</v>
          </cell>
        </row>
        <row r="24">
          <cell r="A24" t="str">
            <v>Company_W</v>
          </cell>
          <cell r="H24" t="str">
            <v>Ketchup</v>
          </cell>
        </row>
        <row r="25">
          <cell r="A25" t="str">
            <v>Company_X</v>
          </cell>
          <cell r="H25" t="str">
            <v>Soy Sauce</v>
          </cell>
        </row>
        <row r="26">
          <cell r="A26" t="str">
            <v>Company_Y</v>
          </cell>
          <cell r="H26" t="str">
            <v>Mayonaise</v>
          </cell>
        </row>
        <row r="27">
          <cell r="A27" t="str">
            <v>Company_Z</v>
          </cell>
          <cell r="H27" t="str">
            <v>Mustard</v>
          </cell>
        </row>
        <row r="28">
          <cell r="H28" t="str">
            <v>Mozzarella</v>
          </cell>
        </row>
        <row r="29">
          <cell r="H29" t="str">
            <v>Swiss Cheese</v>
          </cell>
        </row>
        <row r="30">
          <cell r="H30" t="str">
            <v>Milk</v>
          </cell>
        </row>
        <row r="31">
          <cell r="H31" t="str">
            <v>Cream</v>
          </cell>
        </row>
        <row r="32">
          <cell r="H32" t="str">
            <v>Butter</v>
          </cell>
        </row>
        <row r="33">
          <cell r="H33" t="str">
            <v>Almonds</v>
          </cell>
        </row>
        <row r="34">
          <cell r="H34" t="str">
            <v>Dried Plums</v>
          </cell>
        </row>
        <row r="35">
          <cell r="H35" t="str">
            <v>Dried Apples</v>
          </cell>
        </row>
        <row r="36">
          <cell r="H36" t="str">
            <v>Dried Pears</v>
          </cell>
        </row>
        <row r="37">
          <cell r="H37" t="str">
            <v>Long Grain Rice</v>
          </cell>
        </row>
        <row r="38">
          <cell r="H38" t="str">
            <v>Barley</v>
          </cell>
        </row>
        <row r="39">
          <cell r="H39" t="str">
            <v>Oats</v>
          </cell>
        </row>
        <row r="40">
          <cell r="H40" t="str">
            <v>Quinoa</v>
          </cell>
        </row>
        <row r="41">
          <cell r="H41" t="str">
            <v>Marmalade</v>
          </cell>
        </row>
        <row r="42">
          <cell r="H42" t="str">
            <v>Strawberry Jelly</v>
          </cell>
        </row>
        <row r="43">
          <cell r="H43" t="str">
            <v>Chocolate Spread</v>
          </cell>
        </row>
        <row r="44">
          <cell r="H44" t="str">
            <v>Olive Oil</v>
          </cell>
        </row>
        <row r="45">
          <cell r="H45" t="str">
            <v>Vegetable Oil</v>
          </cell>
        </row>
        <row r="46">
          <cell r="H46" t="str">
            <v>Ravioli</v>
          </cell>
        </row>
        <row r="47">
          <cell r="H47" t="str">
            <v>Fettucine</v>
          </cell>
        </row>
        <row r="48">
          <cell r="H48" t="str">
            <v>Spaghetti</v>
          </cell>
        </row>
        <row r="49">
          <cell r="H49" t="str">
            <v>Tagiatelle</v>
          </cell>
        </row>
        <row r="50">
          <cell r="H50" t="str">
            <v>Vermicelli</v>
          </cell>
        </row>
        <row r="55">
          <cell r="H55" t="str">
            <v>Clam Chowder</v>
          </cell>
        </row>
        <row r="56">
          <cell r="H56" t="str">
            <v>Tomato</v>
          </cell>
        </row>
        <row r="57">
          <cell r="H57" t="str">
            <v>Chicken Soup</v>
          </cell>
        </row>
        <row r="58">
          <cell r="H58" t="str">
            <v>Onion Soup</v>
          </cell>
        </row>
      </sheetData>
      <sheetData sheetId="2">
        <row r="6">
          <cell r="C6" t="str">
            <v>Nina</v>
          </cell>
          <cell r="D6" t="str">
            <v>Ashley</v>
          </cell>
          <cell r="E6" t="str">
            <v>Chloe</v>
          </cell>
          <cell r="F6" t="str">
            <v>Debbie</v>
          </cell>
          <cell r="G6" t="str">
            <v>Brittany</v>
          </cell>
          <cell r="H6" t="str">
            <v>Jason</v>
          </cell>
          <cell r="I6" t="str">
            <v>Drew</v>
          </cell>
          <cell r="J6" t="str">
            <v>Alex</v>
          </cell>
        </row>
        <row r="7">
          <cell r="C7" t="str">
            <v>Ally</v>
          </cell>
          <cell r="D7" t="str">
            <v>Derek</v>
          </cell>
          <cell r="E7" t="str">
            <v>Sarah</v>
          </cell>
          <cell r="F7" t="str">
            <v>Joel</v>
          </cell>
          <cell r="G7" t="str">
            <v>Clay</v>
          </cell>
          <cell r="H7" t="str">
            <v>Annabel</v>
          </cell>
          <cell r="I7" t="str">
            <v>Karen</v>
          </cell>
          <cell r="J7" t="str">
            <v>Jessica</v>
          </cell>
        </row>
        <row r="8">
          <cell r="C8" t="str">
            <v>Spencer</v>
          </cell>
          <cell r="D8" t="str">
            <v>Bryan</v>
          </cell>
          <cell r="E8" t="str">
            <v>Jonah</v>
          </cell>
          <cell r="F8" t="str">
            <v>Elizabeth</v>
          </cell>
          <cell r="G8" t="str">
            <v>Nicole</v>
          </cell>
          <cell r="H8" t="str">
            <v>Emily</v>
          </cell>
          <cell r="I8" t="str">
            <v>Angela</v>
          </cell>
          <cell r="J8" t="str">
            <v>Ebony</v>
          </cell>
        </row>
        <row r="9">
          <cell r="C9" t="str">
            <v>Tia</v>
          </cell>
          <cell r="D9" t="str">
            <v>Gordon</v>
          </cell>
          <cell r="E9" t="str">
            <v>Charlotte</v>
          </cell>
          <cell r="F9" t="str">
            <v>Manny</v>
          </cell>
          <cell r="G9" t="str">
            <v>Ashley</v>
          </cell>
          <cell r="H9" t="str">
            <v>Cory</v>
          </cell>
          <cell r="I9" t="str">
            <v>Sam</v>
          </cell>
          <cell r="J9" t="str">
            <v>Pat</v>
          </cell>
        </row>
        <row r="10">
          <cell r="C10" t="str">
            <v>Josh</v>
          </cell>
          <cell r="D10" t="str">
            <v>Jafari</v>
          </cell>
          <cell r="E10" t="str">
            <v>David</v>
          </cell>
          <cell r="F10" t="str">
            <v>Luke</v>
          </cell>
          <cell r="G10" t="str">
            <v>Jennifer</v>
          </cell>
          <cell r="H10" t="str">
            <v>Olivia</v>
          </cell>
          <cell r="I10" t="str">
            <v>Jamie</v>
          </cell>
          <cell r="J10" t="str">
            <v>Riley</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2.497858449075" createdVersion="8" refreshedVersion="8" minRefreshableVersion="3" recordCount="389" xr:uid="{5AD3D2DE-B7DE-4175-AF88-DD7ED7321ABD}">
  <cacheSource type="worksheet">
    <worksheetSource ref="A1:I390" sheet="All Sales"/>
  </cacheSource>
  <cacheFields count="11">
    <cacheField name="Month" numFmtId="17">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0"/>
    </cacheField>
    <cacheField name="Employee" numFmtId="0">
      <sharedItems count="20">
        <s v="Reza Jafari"/>
        <s v="Bryan Maldonado"/>
        <s v="Ashley Almanza"/>
        <s v="Derek Godwin"/>
        <s v="Nina McDonald"/>
        <s v="Ally Bryant"/>
        <s v="Josh Sutherland"/>
        <s v="Spencer Cruz"/>
        <s v="Chloe Fusaro"/>
        <s v="David Wilkinson"/>
        <s v="Olivia Cheung"/>
        <s v="Jason Jackaki"/>
        <s v="Annabel Mettick"/>
        <s v="Emily Whelan"/>
        <s v="Gordon Beswick"/>
        <s v="Tia Cruise"/>
        <s v="Sarah Gibbs"/>
        <s v="Cory Goodwin"/>
        <s v="Charlotte Edwards"/>
        <s v="Jonah Seitz"/>
      </sharedItems>
    </cacheField>
    <cacheField name="First Name" numFmtId="0">
      <sharedItems/>
    </cacheField>
    <cacheField name="Last Name" numFmtId="0">
      <sharedItems/>
    </cacheField>
    <cacheField name="Sales   Area" numFmtId="0">
      <sharedItems count="4">
        <s v="East"/>
        <s v="West"/>
        <s v="North"/>
        <s v="South"/>
      </sharedItems>
    </cacheField>
    <cacheField name="Sales Amount" numFmtId="165">
      <sharedItems containsSemiMixedTypes="0" containsString="0" containsNumber="1" minValue="2070.2999999999997" maxValue="51531.199999999997" count="380">
        <n v="2954.7"/>
        <n v="6796.7999999999993"/>
        <n v="8188"/>
        <n v="9058.4"/>
        <n v="12096"/>
        <n v="15029"/>
        <n v="15264"/>
        <n v="17353.599999999999"/>
        <n v="20140"/>
        <n v="35649"/>
        <n v="6945.4"/>
        <n v="7658.2000000000007"/>
        <n v="7658.5999999999985"/>
        <n v="9098.6"/>
        <n v="10019.199999999999"/>
        <n v="10176"/>
        <n v="16385.600000000002"/>
        <n v="19108"/>
        <n v="19456"/>
        <n v="31127.199999999997"/>
        <n v="36372.1"/>
        <n v="39186"/>
        <n v="46715.999999999993"/>
        <n v="13310.4"/>
        <n v="20366.100000000002"/>
        <n v="20880"/>
        <n v="23076.199999999997"/>
        <n v="25560"/>
        <n v="3008.3999999999996"/>
        <n v="7221.5999999999995"/>
        <n v="10903.199999999999"/>
        <n v="14616"/>
        <n v="18885.900000000001"/>
        <n v="24236"/>
        <n v="7717.5"/>
        <n v="11617.6"/>
        <n v="19431"/>
        <n v="21169.599999999999"/>
        <n v="29158.400000000001"/>
        <n v="30305"/>
        <n v="43184.399999999994"/>
        <n v="4531"/>
        <n v="6751.7999999999993"/>
        <n v="7343.2000000000007"/>
        <n v="7356.5999999999995"/>
        <n v="17748"/>
        <n v="28395.5"/>
        <n v="41429.5"/>
        <n v="13479.400000000001"/>
        <n v="16604.400000000001"/>
        <n v="22176"/>
        <n v="24131.000000000004"/>
        <n v="34353.5"/>
        <n v="3596"/>
        <n v="6300"/>
        <n v="6804"/>
        <n v="8524.4000000000015"/>
        <n v="8772"/>
        <n v="17328.300000000003"/>
        <n v="21438.899999999998"/>
        <n v="26556.799999999999"/>
        <n v="33132.600000000006"/>
        <n v="2311.5"/>
        <n v="3013.5"/>
        <n v="5287.5"/>
        <n v="13797"/>
        <n v="14063"/>
        <n v="14608.300000000001"/>
        <n v="16063.199999999999"/>
        <n v="16836"/>
        <n v="19594"/>
        <n v="21654.400000000001"/>
        <n v="27930"/>
        <n v="39065.899999999994"/>
        <n v="44422"/>
        <n v="6708.9"/>
        <n v="7982.7"/>
        <n v="8694"/>
        <n v="9116"/>
        <n v="10110.299999999999"/>
        <n v="10451.199999999999"/>
        <n v="11580.4"/>
        <n v="14329.5"/>
        <n v="20128"/>
        <n v="21167.999999999996"/>
        <n v="25102.399999999998"/>
        <n v="27670.9"/>
        <n v="27956.799999999999"/>
        <n v="31407"/>
        <n v="35647.5"/>
        <n v="36907.200000000004"/>
        <n v="7416.9"/>
        <n v="8284.5"/>
        <n v="10758.7"/>
        <n v="12124.2"/>
        <n v="14391.999999999998"/>
        <n v="15246"/>
        <n v="17335.2"/>
        <n v="40831"/>
        <n v="6544.8"/>
        <n v="11166.300000000001"/>
        <n v="11403"/>
        <n v="11554.400000000001"/>
        <n v="12143.999999999998"/>
        <n v="13244.7"/>
        <n v="23014.400000000001"/>
        <n v="26200"/>
        <n v="28286.399999999998"/>
        <n v="35715.4"/>
        <n v="7029.9"/>
        <n v="11914.400000000001"/>
        <n v="15919.7"/>
        <n v="17776"/>
        <n v="36666"/>
        <n v="38227.699999999997"/>
        <n v="51531.199999999997"/>
        <n v="5696.4"/>
        <n v="11716.5"/>
        <n v="14416"/>
        <n v="16499.400000000001"/>
        <n v="16968"/>
        <n v="17993.5"/>
        <n v="18188.399999999998"/>
        <n v="8520"/>
        <n v="14301.599999999999"/>
        <n v="17204.399999999998"/>
        <n v="19080"/>
        <n v="19210.400000000001"/>
        <n v="32282.799999999996"/>
        <n v="32524.1"/>
        <n v="35153.799999999996"/>
        <n v="35820"/>
        <n v="42690.400000000001"/>
        <n v="6960"/>
        <n v="9627.8999999999978"/>
        <n v="13725.600000000002"/>
        <n v="15353.2"/>
        <n v="18994.5"/>
        <n v="28628.799999999996"/>
        <n v="8686.6"/>
        <n v="12422.2"/>
        <n v="15120"/>
        <n v="19584"/>
        <n v="26546.6"/>
        <n v="31200"/>
        <n v="9004.7999999999993"/>
        <n v="18826.400000000001"/>
        <n v="19617.5"/>
        <n v="19836.400000000001"/>
        <n v="20717.599999999999"/>
        <n v="23364"/>
        <n v="23997.600000000002"/>
        <n v="27916.399999999998"/>
        <n v="42249.1"/>
        <n v="9270.1"/>
        <n v="11235"/>
        <n v="12019.799999999997"/>
        <n v="10948"/>
        <n v="13044.899999999998"/>
        <n v="28616"/>
        <n v="30377.399999999998"/>
        <n v="35351"/>
        <n v="2070.2999999999997"/>
        <n v="9499"/>
        <n v="17904.7"/>
        <n v="18878.399999999998"/>
        <n v="23445"/>
        <n v="34162"/>
        <n v="9574.7999999999993"/>
        <n v="14301.6"/>
        <n v="15061.2"/>
        <n v="17262"/>
        <n v="37192.5"/>
        <n v="39653.9"/>
        <n v="7581.9999999999991"/>
        <n v="8721.6"/>
        <n v="10500"/>
        <n v="13466.999999999998"/>
        <n v="16036.8"/>
        <n v="16846.8"/>
        <n v="6872.7999999999993"/>
        <n v="8827"/>
        <n v="9836.8000000000011"/>
        <n v="10032"/>
        <n v="15953.599999999999"/>
        <n v="35695"/>
        <n v="3055.2"/>
        <n v="4843.4000000000005"/>
        <n v="5215.2"/>
        <n v="7199.7000000000007"/>
        <n v="14670"/>
        <n v="16614.400000000001"/>
        <n v="20076.7"/>
        <n v="21482.999999999996"/>
        <n v="30776.799999999999"/>
        <n v="3465"/>
        <n v="5332.7999999999993"/>
        <n v="8065.5999999999995"/>
        <n v="10067.200000000001"/>
        <n v="10648.999999999998"/>
        <n v="10679.400000000001"/>
        <n v="11155.5"/>
        <n v="11543"/>
        <n v="15633.199999999999"/>
        <n v="20868.399999999998"/>
        <n v="24395.100000000002"/>
        <n v="15957.2"/>
        <n v="16492"/>
        <n v="21295.4"/>
        <n v="25518.800000000003"/>
        <n v="27676.6"/>
        <n v="28395"/>
        <n v="41826.400000000001"/>
        <n v="49055.999999999993"/>
        <n v="9405.2999999999993"/>
        <n v="9704.1999999999989"/>
        <n v="13674"/>
        <n v="21120.400000000001"/>
        <n v="8625"/>
        <n v="9794"/>
        <n v="16321.6"/>
        <n v="19678.8"/>
        <n v="33694.800000000003"/>
        <n v="39236"/>
        <n v="43088.2"/>
        <n v="3760.5"/>
        <n v="4322.8"/>
        <n v="9697.6"/>
        <n v="10391.699999999999"/>
        <n v="15670.2"/>
        <n v="22477.9"/>
        <n v="36088.1"/>
        <n v="43388.100000000006"/>
        <n v="6201"/>
        <n v="6311.4"/>
        <n v="7289.6"/>
        <n v="8322.4"/>
        <n v="8501.9000000000015"/>
        <n v="9708.2999999999993"/>
        <n v="12944.399999999998"/>
        <n v="14248"/>
        <n v="18298.399999999998"/>
        <n v="18838.399999999998"/>
        <n v="24469.599999999999"/>
        <n v="31053.4"/>
        <n v="3386.6000000000004"/>
        <n v="4028"/>
        <n v="5532.7999999999993"/>
        <n v="10200"/>
        <n v="13923"/>
        <n v="17593.399999999998"/>
        <n v="17666"/>
        <n v="21420"/>
        <n v="24080"/>
        <n v="27531"/>
        <n v="32795.700000000004"/>
        <n v="5572.3"/>
        <n v="7496.9999999999991"/>
        <n v="9651.1999999999989"/>
        <n v="10492.199999999997"/>
        <n v="18396.7"/>
        <n v="23849.599999999999"/>
        <n v="23882.399999999998"/>
        <n v="34041.300000000003"/>
        <n v="7714"/>
        <n v="15152.399999999998"/>
        <n v="16363.900000000001"/>
        <n v="3710"/>
        <n v="6600"/>
        <n v="8001"/>
        <n v="14089.199999999999"/>
        <n v="16702.400000000001"/>
        <n v="21216"/>
        <n v="21546"/>
        <n v="31186.6"/>
        <n v="31999.200000000001"/>
        <n v="37520"/>
        <n v="41215.299999999996"/>
        <n v="7008"/>
        <n v="8099.6999999999989"/>
        <n v="9840"/>
        <n v="10218"/>
        <n v="14311.2"/>
        <n v="14715.2"/>
        <n v="19147.8"/>
        <n v="20760.300000000003"/>
        <n v="24579.8"/>
        <n v="25946.300000000003"/>
        <n v="30367.999999999996"/>
        <n v="35640"/>
        <n v="3243.6000000000004"/>
        <n v="12633.599999999999"/>
        <n v="12806.399999999998"/>
        <n v="20031.199999999997"/>
        <n v="21485.200000000001"/>
        <n v="22607.200000000004"/>
        <n v="2997.2"/>
        <n v="7195.9999999999991"/>
        <n v="10595.2"/>
        <n v="10694.7"/>
        <n v="14235.4"/>
        <n v="36530.199999999997"/>
        <n v="36896.199999999997"/>
        <n v="41420.699999999997"/>
        <n v="3035.1"/>
        <n v="6688"/>
        <n v="7024.2"/>
        <n v="7139.0000000000009"/>
        <n v="10988.800000000001"/>
        <n v="12306.6"/>
        <n v="16077"/>
        <n v="19946.199999999997"/>
        <n v="26773.4"/>
        <n v="28464.9"/>
        <n v="37544.800000000003"/>
        <n v="40224.800000000003"/>
        <n v="43591.8"/>
        <n v="4201.6000000000004"/>
        <n v="15262.8"/>
        <n v="20790"/>
        <n v="21878.5"/>
        <n v="22136.800000000003"/>
        <n v="23240.400000000001"/>
        <n v="41989.599999999999"/>
        <n v="5130"/>
        <n v="8810.9"/>
        <n v="16606"/>
        <n v="17766"/>
        <n v="20916"/>
        <n v="22396.5"/>
        <n v="25633.5"/>
        <n v="37374.399999999994"/>
        <n v="6900"/>
        <n v="9683"/>
        <n v="14302.9"/>
        <n v="16806.400000000001"/>
        <n v="20797.200000000004"/>
        <n v="26866"/>
        <n v="9292.5"/>
        <n v="28761.599999999999"/>
        <n v="41932.799999999996"/>
        <n v="42427"/>
        <n v="47510.400000000001"/>
        <n v="9006"/>
        <n v="10573.5"/>
        <n v="13230"/>
        <n v="15403.600000000002"/>
        <n v="16394.399999999998"/>
        <n v="18452.599999999999"/>
        <n v="20062.5"/>
        <n v="22900.499999999996"/>
        <n v="23057.999999999996"/>
        <n v="37560"/>
        <n v="38570"/>
        <n v="39199.599999999999"/>
        <n v="3817.9999999999995"/>
        <n v="8683.1999999999989"/>
        <n v="11210"/>
        <n v="12765.2"/>
        <n v="15921.999999999998"/>
        <n v="31970.799999999999"/>
        <n v="41520"/>
        <n v="45800.999999999993"/>
        <n v="7009.2000000000007"/>
        <n v="7088.9"/>
        <n v="8095.5"/>
        <n v="8914.5"/>
        <n v="7721.5999999999995"/>
        <n v="8925.7000000000007"/>
        <n v="15802.6"/>
        <n v="21103.3"/>
        <n v="22351.100000000002"/>
        <n v="43974"/>
        <n v="8082.7999999999993"/>
        <n v="9826.4"/>
        <n v="12328"/>
        <n v="24544"/>
        <n v="27350.400000000001"/>
        <n v="28845"/>
        <n v="43593.599999999999"/>
      </sharedItems>
    </cacheField>
    <cacheField name="Target" numFmtId="165">
      <sharedItems containsSemiMixedTypes="0" containsString="0" containsNumber="1" containsInteger="1" minValue="15000" maxValue="15000"/>
    </cacheField>
    <cacheField name="Commission" numFmtId="165">
      <sharedItems containsMixedTypes="1" containsNumber="1" minValue="1502.9" maxValue="5153.12"/>
    </cacheField>
    <cacheField name="         Payment           Type" numFmtId="0">
      <sharedItems count="3">
        <s v="Cash"/>
        <s v="Credit Card"/>
        <s v="On Account"/>
      </sharedItems>
    </cacheField>
    <cacheField name="Days (Month)" numFmtId="0" databaseField="0">
      <fieldGroup base="0">
        <rangePr groupBy="days" startDate="2021-01-01T00:00:00" endDate="2021-12-02T00:00:00"/>
        <groupItems count="368">
          <s v="&lt;01/01/2021"/>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2/12/2021"/>
        </groupItems>
      </fieldGroup>
    </cacheField>
    <cacheField name="Months (Month)" numFmtId="0" databaseField="0">
      <fieldGroup base="0">
        <rangePr groupBy="months" startDate="2021-01-01T00:00:00" endDate="2021-12-02T00:00:00"/>
        <groupItems count="14">
          <s v="&lt;01/01/2021"/>
          <s v="janv"/>
          <s v="févr"/>
          <s v="mars"/>
          <s v="avr"/>
          <s v="mai"/>
          <s v="juin"/>
          <s v="juil"/>
          <s v="août"/>
          <s v="sept"/>
          <s v="oct"/>
          <s v="nov"/>
          <s v="déc"/>
          <s v="&gt;02/12/2021"/>
        </groupItems>
      </fieldGroup>
    </cacheField>
  </cacheFields>
  <extLst>
    <ext xmlns:x14="http://schemas.microsoft.com/office/spreadsheetml/2009/9/main" uri="{725AE2AE-9491-48be-B2B4-4EB974FC3084}">
      <x14:pivotCacheDefinition pivotCacheId="677906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
  <r>
    <x v="0"/>
    <x v="0"/>
    <s v="Reza"/>
    <s v="Jafari"/>
    <x v="0"/>
    <x v="0"/>
    <n v="15000"/>
    <s v="$_"/>
    <x v="0"/>
  </r>
  <r>
    <x v="0"/>
    <x v="1"/>
    <s v="Bryan"/>
    <s v="Maldonado"/>
    <x v="0"/>
    <x v="1"/>
    <n v="15000"/>
    <s v="$_"/>
    <x v="1"/>
  </r>
  <r>
    <x v="0"/>
    <x v="1"/>
    <s v="Bryan"/>
    <s v="Maldonado"/>
    <x v="0"/>
    <x v="2"/>
    <n v="15000"/>
    <s v="$_"/>
    <x v="2"/>
  </r>
  <r>
    <x v="0"/>
    <x v="0"/>
    <s v="Reza"/>
    <s v="Jafari"/>
    <x v="0"/>
    <x v="3"/>
    <n v="15000"/>
    <s v="$_"/>
    <x v="1"/>
  </r>
  <r>
    <x v="0"/>
    <x v="1"/>
    <s v="Bryan"/>
    <s v="Maldonado"/>
    <x v="0"/>
    <x v="4"/>
    <n v="15000"/>
    <s v="$_"/>
    <x v="2"/>
  </r>
  <r>
    <x v="0"/>
    <x v="2"/>
    <s v="Ashley"/>
    <s v="Almanza"/>
    <x v="0"/>
    <x v="5"/>
    <n v="15000"/>
    <n v="1502.9"/>
    <x v="0"/>
  </r>
  <r>
    <x v="0"/>
    <x v="2"/>
    <s v="Ashley"/>
    <s v="Almanza"/>
    <x v="0"/>
    <x v="6"/>
    <n v="15000"/>
    <n v="1526.4"/>
    <x v="0"/>
  </r>
  <r>
    <x v="0"/>
    <x v="2"/>
    <s v="Ashley"/>
    <s v="Almanza"/>
    <x v="0"/>
    <x v="7"/>
    <n v="15000"/>
    <n v="1735.36"/>
    <x v="1"/>
  </r>
  <r>
    <x v="0"/>
    <x v="3"/>
    <s v="Derek"/>
    <s v="Godwin"/>
    <x v="0"/>
    <x v="8"/>
    <n v="15000"/>
    <n v="2014"/>
    <x v="2"/>
  </r>
  <r>
    <x v="0"/>
    <x v="3"/>
    <s v="Derek"/>
    <s v="Godwin"/>
    <x v="0"/>
    <x v="9"/>
    <n v="15000"/>
    <n v="3564.9"/>
    <x v="1"/>
  </r>
  <r>
    <x v="0"/>
    <x v="4"/>
    <s v="Nina"/>
    <s v="McDonald"/>
    <x v="1"/>
    <x v="10"/>
    <n v="15000"/>
    <s v="$_"/>
    <x v="2"/>
  </r>
  <r>
    <x v="0"/>
    <x v="4"/>
    <s v="Nina"/>
    <s v="McDonald"/>
    <x v="1"/>
    <x v="11"/>
    <n v="15000"/>
    <s v="$_"/>
    <x v="2"/>
  </r>
  <r>
    <x v="0"/>
    <x v="5"/>
    <s v="Ally"/>
    <s v="Bryant"/>
    <x v="1"/>
    <x v="12"/>
    <n v="15000"/>
    <s v="$_"/>
    <x v="0"/>
  </r>
  <r>
    <x v="0"/>
    <x v="6"/>
    <s v="Josh"/>
    <s v="Sutherland"/>
    <x v="1"/>
    <x v="13"/>
    <n v="15000"/>
    <s v="$_"/>
    <x v="2"/>
  </r>
  <r>
    <x v="0"/>
    <x v="4"/>
    <s v="Nina"/>
    <s v="McDonald"/>
    <x v="1"/>
    <x v="14"/>
    <n v="15000"/>
    <s v="$_"/>
    <x v="2"/>
  </r>
  <r>
    <x v="0"/>
    <x v="5"/>
    <s v="Ally"/>
    <s v="Bryant"/>
    <x v="1"/>
    <x v="15"/>
    <n v="15000"/>
    <s v="$_"/>
    <x v="0"/>
  </r>
  <r>
    <x v="0"/>
    <x v="6"/>
    <s v="Josh"/>
    <s v="Sutherland"/>
    <x v="1"/>
    <x v="16"/>
    <n v="15000"/>
    <n v="1638.5600000000004"/>
    <x v="1"/>
  </r>
  <r>
    <x v="0"/>
    <x v="5"/>
    <s v="Ally"/>
    <s v="Bryant"/>
    <x v="1"/>
    <x v="17"/>
    <n v="15000"/>
    <n v="1910.8000000000002"/>
    <x v="0"/>
  </r>
  <r>
    <x v="0"/>
    <x v="4"/>
    <s v="Nina"/>
    <s v="McDonald"/>
    <x v="1"/>
    <x v="18"/>
    <n v="15000"/>
    <n v="1945.6000000000001"/>
    <x v="1"/>
  </r>
  <r>
    <x v="0"/>
    <x v="7"/>
    <s v="Spencer"/>
    <s v="Cruz"/>
    <x v="1"/>
    <x v="19"/>
    <n v="15000"/>
    <n v="3112.72"/>
    <x v="2"/>
  </r>
  <r>
    <x v="0"/>
    <x v="7"/>
    <s v="Spencer"/>
    <s v="Cruz"/>
    <x v="1"/>
    <x v="20"/>
    <n v="15000"/>
    <n v="3637.21"/>
    <x v="1"/>
  </r>
  <r>
    <x v="0"/>
    <x v="5"/>
    <s v="Ally"/>
    <s v="Bryant"/>
    <x v="1"/>
    <x v="21"/>
    <n v="15000"/>
    <n v="3918.6000000000004"/>
    <x v="0"/>
  </r>
  <r>
    <x v="0"/>
    <x v="7"/>
    <s v="Spencer"/>
    <s v="Cruz"/>
    <x v="1"/>
    <x v="22"/>
    <n v="15000"/>
    <n v="4671.5999999999995"/>
    <x v="1"/>
  </r>
  <r>
    <x v="0"/>
    <x v="8"/>
    <s v="Chloe"/>
    <s v="Fusaro"/>
    <x v="2"/>
    <x v="23"/>
    <n v="15000"/>
    <s v="$_"/>
    <x v="1"/>
  </r>
  <r>
    <x v="0"/>
    <x v="9"/>
    <s v="David"/>
    <s v="Wilkinson"/>
    <x v="2"/>
    <x v="24"/>
    <n v="15000"/>
    <n v="2036.6100000000004"/>
    <x v="2"/>
  </r>
  <r>
    <x v="0"/>
    <x v="9"/>
    <s v="David"/>
    <s v="Wilkinson"/>
    <x v="2"/>
    <x v="25"/>
    <n v="15000"/>
    <n v="2088"/>
    <x v="1"/>
  </r>
  <r>
    <x v="0"/>
    <x v="8"/>
    <s v="Chloe"/>
    <s v="Fusaro"/>
    <x v="2"/>
    <x v="26"/>
    <n v="15000"/>
    <n v="2307.62"/>
    <x v="1"/>
  </r>
  <r>
    <x v="0"/>
    <x v="8"/>
    <s v="Chloe"/>
    <s v="Fusaro"/>
    <x v="2"/>
    <x v="27"/>
    <n v="15000"/>
    <n v="2556"/>
    <x v="1"/>
  </r>
  <r>
    <x v="0"/>
    <x v="10"/>
    <s v="Olivia"/>
    <s v="Cheung"/>
    <x v="3"/>
    <x v="28"/>
    <n v="15000"/>
    <s v="$_"/>
    <x v="0"/>
  </r>
  <r>
    <x v="0"/>
    <x v="11"/>
    <s v="Jason"/>
    <s v="Jackaki"/>
    <x v="3"/>
    <x v="29"/>
    <n v="15000"/>
    <s v="$_"/>
    <x v="2"/>
  </r>
  <r>
    <x v="0"/>
    <x v="10"/>
    <s v="Olivia"/>
    <s v="Cheung"/>
    <x v="3"/>
    <x v="30"/>
    <n v="15000"/>
    <s v="$_"/>
    <x v="0"/>
  </r>
  <r>
    <x v="0"/>
    <x v="12"/>
    <s v="Annabel"/>
    <s v="Mettick"/>
    <x v="3"/>
    <x v="31"/>
    <n v="15000"/>
    <s v="$_"/>
    <x v="0"/>
  </r>
  <r>
    <x v="0"/>
    <x v="13"/>
    <s v="Emily"/>
    <s v="Whelan"/>
    <x v="3"/>
    <x v="32"/>
    <n v="15000"/>
    <n v="1888.5900000000001"/>
    <x v="2"/>
  </r>
  <r>
    <x v="0"/>
    <x v="13"/>
    <s v="Emily"/>
    <s v="Whelan"/>
    <x v="3"/>
    <x v="33"/>
    <n v="15000"/>
    <n v="2423.6"/>
    <x v="1"/>
  </r>
  <r>
    <x v="1"/>
    <x v="14"/>
    <s v="Gordon"/>
    <s v="Beswick"/>
    <x v="0"/>
    <x v="34"/>
    <n v="15000"/>
    <s v="$_"/>
    <x v="2"/>
  </r>
  <r>
    <x v="1"/>
    <x v="14"/>
    <s v="Gordon"/>
    <s v="Beswick"/>
    <x v="0"/>
    <x v="35"/>
    <n v="15000"/>
    <s v="$_"/>
    <x v="0"/>
  </r>
  <r>
    <x v="1"/>
    <x v="3"/>
    <s v="Derek"/>
    <s v="Godwin"/>
    <x v="0"/>
    <x v="36"/>
    <n v="15000"/>
    <n v="1943.1000000000001"/>
    <x v="0"/>
  </r>
  <r>
    <x v="1"/>
    <x v="2"/>
    <s v="Ashley"/>
    <s v="Almanza"/>
    <x v="0"/>
    <x v="37"/>
    <n v="15000"/>
    <n v="2116.96"/>
    <x v="0"/>
  </r>
  <r>
    <x v="1"/>
    <x v="0"/>
    <s v="Reza"/>
    <s v="Jafari"/>
    <x v="0"/>
    <x v="38"/>
    <n v="15000"/>
    <n v="2915.84"/>
    <x v="0"/>
  </r>
  <r>
    <x v="1"/>
    <x v="3"/>
    <s v="Derek"/>
    <s v="Godwin"/>
    <x v="0"/>
    <x v="39"/>
    <n v="15000"/>
    <n v="3030.5"/>
    <x v="1"/>
  </r>
  <r>
    <x v="1"/>
    <x v="14"/>
    <s v="Gordon"/>
    <s v="Beswick"/>
    <x v="0"/>
    <x v="40"/>
    <n v="15000"/>
    <n v="4318.4399999999996"/>
    <x v="2"/>
  </r>
  <r>
    <x v="1"/>
    <x v="4"/>
    <s v="Nina"/>
    <s v="McDonald"/>
    <x v="1"/>
    <x v="41"/>
    <n v="15000"/>
    <s v="$_"/>
    <x v="2"/>
  </r>
  <r>
    <x v="1"/>
    <x v="15"/>
    <s v="Tia"/>
    <s v="Cruise"/>
    <x v="1"/>
    <x v="42"/>
    <n v="15000"/>
    <s v="$_"/>
    <x v="0"/>
  </r>
  <r>
    <x v="1"/>
    <x v="4"/>
    <s v="Nina"/>
    <s v="McDonald"/>
    <x v="1"/>
    <x v="43"/>
    <n v="15000"/>
    <s v="$_"/>
    <x v="0"/>
  </r>
  <r>
    <x v="1"/>
    <x v="4"/>
    <s v="Nina"/>
    <s v="McDonald"/>
    <x v="1"/>
    <x v="44"/>
    <n v="15000"/>
    <s v="$_"/>
    <x v="1"/>
  </r>
  <r>
    <x v="1"/>
    <x v="15"/>
    <s v="Tia"/>
    <s v="Cruise"/>
    <x v="1"/>
    <x v="45"/>
    <n v="15000"/>
    <n v="1774.8000000000002"/>
    <x v="1"/>
  </r>
  <r>
    <x v="1"/>
    <x v="4"/>
    <s v="Nina"/>
    <s v="McDonald"/>
    <x v="1"/>
    <x v="46"/>
    <n v="15000"/>
    <n v="2839.55"/>
    <x v="2"/>
  </r>
  <r>
    <x v="1"/>
    <x v="5"/>
    <s v="Ally"/>
    <s v="Bryant"/>
    <x v="1"/>
    <x v="47"/>
    <n v="15000"/>
    <n v="4142.95"/>
    <x v="0"/>
  </r>
  <r>
    <x v="1"/>
    <x v="9"/>
    <s v="David"/>
    <s v="Wilkinson"/>
    <x v="2"/>
    <x v="48"/>
    <n v="15000"/>
    <s v="$_"/>
    <x v="2"/>
  </r>
  <r>
    <x v="1"/>
    <x v="8"/>
    <s v="Chloe"/>
    <s v="Fusaro"/>
    <x v="2"/>
    <x v="49"/>
    <n v="15000"/>
    <n v="1660.4400000000003"/>
    <x v="0"/>
  </r>
  <r>
    <x v="1"/>
    <x v="16"/>
    <s v="Sarah"/>
    <s v="Gibbs"/>
    <x v="2"/>
    <x v="50"/>
    <n v="15000"/>
    <n v="2217.6"/>
    <x v="0"/>
  </r>
  <r>
    <x v="1"/>
    <x v="9"/>
    <s v="David"/>
    <s v="Wilkinson"/>
    <x v="2"/>
    <x v="51"/>
    <n v="15000"/>
    <n v="2413.1000000000004"/>
    <x v="0"/>
  </r>
  <r>
    <x v="1"/>
    <x v="8"/>
    <s v="Chloe"/>
    <s v="Fusaro"/>
    <x v="2"/>
    <x v="52"/>
    <n v="15000"/>
    <n v="3435.3500000000004"/>
    <x v="0"/>
  </r>
  <r>
    <x v="1"/>
    <x v="12"/>
    <s v="Annabel"/>
    <s v="Mettick"/>
    <x v="3"/>
    <x v="53"/>
    <n v="15000"/>
    <s v="$_"/>
    <x v="0"/>
  </r>
  <r>
    <x v="1"/>
    <x v="17"/>
    <s v="Cory"/>
    <s v="Goodwin"/>
    <x v="3"/>
    <x v="54"/>
    <n v="15000"/>
    <s v="$_"/>
    <x v="2"/>
  </r>
  <r>
    <x v="1"/>
    <x v="12"/>
    <s v="Annabel"/>
    <s v="Mettick"/>
    <x v="3"/>
    <x v="55"/>
    <n v="15000"/>
    <s v="$_"/>
    <x v="1"/>
  </r>
  <r>
    <x v="1"/>
    <x v="11"/>
    <s v="Jason"/>
    <s v="Jackaki"/>
    <x v="3"/>
    <x v="56"/>
    <n v="15000"/>
    <s v="$_"/>
    <x v="2"/>
  </r>
  <r>
    <x v="1"/>
    <x v="12"/>
    <s v="Annabel"/>
    <s v="Mettick"/>
    <x v="3"/>
    <x v="57"/>
    <n v="15000"/>
    <s v="$_"/>
    <x v="2"/>
  </r>
  <r>
    <x v="1"/>
    <x v="12"/>
    <s v="Annabel"/>
    <s v="Mettick"/>
    <x v="3"/>
    <x v="58"/>
    <n v="15000"/>
    <n v="1732.8300000000004"/>
    <x v="2"/>
  </r>
  <r>
    <x v="1"/>
    <x v="17"/>
    <s v="Cory"/>
    <s v="Goodwin"/>
    <x v="3"/>
    <x v="59"/>
    <n v="15000"/>
    <n v="2143.89"/>
    <x v="1"/>
  </r>
  <r>
    <x v="1"/>
    <x v="11"/>
    <s v="Jason"/>
    <s v="Jackaki"/>
    <x v="3"/>
    <x v="60"/>
    <n v="15000"/>
    <n v="2655.6800000000003"/>
    <x v="0"/>
  </r>
  <r>
    <x v="1"/>
    <x v="11"/>
    <s v="Jason"/>
    <s v="Jackaki"/>
    <x v="3"/>
    <x v="61"/>
    <n v="15000"/>
    <n v="3313.2600000000007"/>
    <x v="2"/>
  </r>
  <r>
    <x v="2"/>
    <x v="3"/>
    <s v="Derek"/>
    <s v="Godwin"/>
    <x v="0"/>
    <x v="62"/>
    <n v="15000"/>
    <s v="$_"/>
    <x v="0"/>
  </r>
  <r>
    <x v="2"/>
    <x v="14"/>
    <s v="Gordon"/>
    <s v="Beswick"/>
    <x v="0"/>
    <x v="63"/>
    <n v="15000"/>
    <s v="$_"/>
    <x v="0"/>
  </r>
  <r>
    <x v="2"/>
    <x v="14"/>
    <s v="Gordon"/>
    <s v="Beswick"/>
    <x v="0"/>
    <x v="64"/>
    <n v="15000"/>
    <s v="$_"/>
    <x v="0"/>
  </r>
  <r>
    <x v="2"/>
    <x v="0"/>
    <s v="Reza"/>
    <s v="Jafari"/>
    <x v="0"/>
    <x v="65"/>
    <n v="15000"/>
    <s v="$_"/>
    <x v="1"/>
  </r>
  <r>
    <x v="2"/>
    <x v="1"/>
    <s v="Bryan"/>
    <s v="Maldonado"/>
    <x v="0"/>
    <x v="66"/>
    <n v="15000"/>
    <s v="$_"/>
    <x v="0"/>
  </r>
  <r>
    <x v="2"/>
    <x v="0"/>
    <s v="Reza"/>
    <s v="Jafari"/>
    <x v="0"/>
    <x v="67"/>
    <n v="15000"/>
    <s v="$_"/>
    <x v="1"/>
  </r>
  <r>
    <x v="2"/>
    <x v="14"/>
    <s v="Gordon"/>
    <s v="Beswick"/>
    <x v="0"/>
    <x v="68"/>
    <n v="15000"/>
    <n v="1606.32"/>
    <x v="0"/>
  </r>
  <r>
    <x v="2"/>
    <x v="3"/>
    <s v="Derek"/>
    <s v="Godwin"/>
    <x v="0"/>
    <x v="69"/>
    <n v="15000"/>
    <n v="1683.6000000000001"/>
    <x v="1"/>
  </r>
  <r>
    <x v="2"/>
    <x v="14"/>
    <s v="Gordon"/>
    <s v="Beswick"/>
    <x v="0"/>
    <x v="70"/>
    <n v="15000"/>
    <n v="1959.4"/>
    <x v="2"/>
  </r>
  <r>
    <x v="2"/>
    <x v="3"/>
    <s v="Derek"/>
    <s v="Godwin"/>
    <x v="0"/>
    <x v="71"/>
    <n v="15000"/>
    <n v="2165.44"/>
    <x v="0"/>
  </r>
  <r>
    <x v="2"/>
    <x v="1"/>
    <s v="Bryan"/>
    <s v="Maldonado"/>
    <x v="0"/>
    <x v="72"/>
    <n v="15000"/>
    <n v="2793"/>
    <x v="1"/>
  </r>
  <r>
    <x v="2"/>
    <x v="2"/>
    <s v="Ashley"/>
    <s v="Almanza"/>
    <x v="0"/>
    <x v="73"/>
    <n v="15000"/>
    <n v="3906.5899999999997"/>
    <x v="0"/>
  </r>
  <r>
    <x v="2"/>
    <x v="14"/>
    <s v="Gordon"/>
    <s v="Beswick"/>
    <x v="0"/>
    <x v="74"/>
    <n v="15000"/>
    <n v="4442.2"/>
    <x v="2"/>
  </r>
  <r>
    <x v="2"/>
    <x v="7"/>
    <s v="Spencer"/>
    <s v="Cruz"/>
    <x v="1"/>
    <x v="75"/>
    <n v="15000"/>
    <s v="$_"/>
    <x v="2"/>
  </r>
  <r>
    <x v="2"/>
    <x v="6"/>
    <s v="Josh"/>
    <s v="Sutherland"/>
    <x v="1"/>
    <x v="76"/>
    <n v="15000"/>
    <s v="$_"/>
    <x v="2"/>
  </r>
  <r>
    <x v="2"/>
    <x v="5"/>
    <s v="Ally"/>
    <s v="Bryant"/>
    <x v="1"/>
    <x v="77"/>
    <n v="15000"/>
    <s v="$_"/>
    <x v="1"/>
  </r>
  <r>
    <x v="2"/>
    <x v="5"/>
    <s v="Ally"/>
    <s v="Bryant"/>
    <x v="1"/>
    <x v="78"/>
    <n v="15000"/>
    <s v="$_"/>
    <x v="1"/>
  </r>
  <r>
    <x v="2"/>
    <x v="6"/>
    <s v="Josh"/>
    <s v="Sutherland"/>
    <x v="1"/>
    <x v="79"/>
    <n v="15000"/>
    <s v="$_"/>
    <x v="1"/>
  </r>
  <r>
    <x v="2"/>
    <x v="4"/>
    <s v="Nina"/>
    <s v="McDonald"/>
    <x v="1"/>
    <x v="80"/>
    <n v="15000"/>
    <s v="$_"/>
    <x v="1"/>
  </r>
  <r>
    <x v="2"/>
    <x v="4"/>
    <s v="Nina"/>
    <s v="McDonald"/>
    <x v="1"/>
    <x v="81"/>
    <n v="15000"/>
    <s v="$_"/>
    <x v="0"/>
  </r>
  <r>
    <x v="2"/>
    <x v="5"/>
    <s v="Ally"/>
    <s v="Bryant"/>
    <x v="1"/>
    <x v="82"/>
    <n v="15000"/>
    <s v="$_"/>
    <x v="1"/>
  </r>
  <r>
    <x v="2"/>
    <x v="5"/>
    <s v="Ally"/>
    <s v="Bryant"/>
    <x v="1"/>
    <x v="83"/>
    <n v="15000"/>
    <n v="2012.8000000000002"/>
    <x v="2"/>
  </r>
  <r>
    <x v="2"/>
    <x v="7"/>
    <s v="Spencer"/>
    <s v="Cruz"/>
    <x v="1"/>
    <x v="84"/>
    <n v="15000"/>
    <n v="2116.7999999999997"/>
    <x v="1"/>
  </r>
  <r>
    <x v="2"/>
    <x v="15"/>
    <s v="Tia"/>
    <s v="Cruise"/>
    <x v="1"/>
    <x v="85"/>
    <n v="15000"/>
    <n v="2510.2399999999998"/>
    <x v="0"/>
  </r>
  <r>
    <x v="2"/>
    <x v="15"/>
    <s v="Tia"/>
    <s v="Cruise"/>
    <x v="1"/>
    <x v="86"/>
    <n v="15000"/>
    <n v="2767.09"/>
    <x v="2"/>
  </r>
  <r>
    <x v="2"/>
    <x v="15"/>
    <s v="Tia"/>
    <s v="Cruise"/>
    <x v="1"/>
    <x v="87"/>
    <n v="15000"/>
    <n v="2795.6800000000003"/>
    <x v="0"/>
  </r>
  <r>
    <x v="2"/>
    <x v="5"/>
    <s v="Ally"/>
    <s v="Bryant"/>
    <x v="1"/>
    <x v="88"/>
    <n v="15000"/>
    <n v="3140.7000000000003"/>
    <x v="0"/>
  </r>
  <r>
    <x v="2"/>
    <x v="6"/>
    <s v="Josh"/>
    <s v="Sutherland"/>
    <x v="1"/>
    <x v="89"/>
    <n v="15000"/>
    <n v="3564.75"/>
    <x v="2"/>
  </r>
  <r>
    <x v="2"/>
    <x v="6"/>
    <s v="Josh"/>
    <s v="Sutherland"/>
    <x v="1"/>
    <x v="90"/>
    <n v="15000"/>
    <n v="3690.7200000000007"/>
    <x v="0"/>
  </r>
  <r>
    <x v="2"/>
    <x v="18"/>
    <s v="Charlotte"/>
    <s v="Edwards"/>
    <x v="2"/>
    <x v="91"/>
    <n v="15000"/>
    <s v="$_"/>
    <x v="2"/>
  </r>
  <r>
    <x v="2"/>
    <x v="19"/>
    <s v="Jonah"/>
    <s v="Seitz"/>
    <x v="2"/>
    <x v="92"/>
    <n v="15000"/>
    <s v="$_"/>
    <x v="0"/>
  </r>
  <r>
    <x v="2"/>
    <x v="8"/>
    <s v="Chloe"/>
    <s v="Fusaro"/>
    <x v="2"/>
    <x v="93"/>
    <n v="15000"/>
    <s v="$_"/>
    <x v="0"/>
  </r>
  <r>
    <x v="2"/>
    <x v="9"/>
    <s v="David"/>
    <s v="Wilkinson"/>
    <x v="2"/>
    <x v="94"/>
    <n v="15000"/>
    <s v="$_"/>
    <x v="2"/>
  </r>
  <r>
    <x v="2"/>
    <x v="18"/>
    <s v="Charlotte"/>
    <s v="Edwards"/>
    <x v="2"/>
    <x v="95"/>
    <n v="15000"/>
    <s v="$_"/>
    <x v="1"/>
  </r>
  <r>
    <x v="2"/>
    <x v="19"/>
    <s v="Jonah"/>
    <s v="Seitz"/>
    <x v="2"/>
    <x v="96"/>
    <n v="15000"/>
    <n v="1524.6000000000001"/>
    <x v="1"/>
  </r>
  <r>
    <x v="2"/>
    <x v="18"/>
    <s v="Charlotte"/>
    <s v="Edwards"/>
    <x v="2"/>
    <x v="97"/>
    <n v="15000"/>
    <n v="1733.5200000000002"/>
    <x v="2"/>
  </r>
  <r>
    <x v="2"/>
    <x v="19"/>
    <s v="Jonah"/>
    <s v="Seitz"/>
    <x v="2"/>
    <x v="98"/>
    <n v="15000"/>
    <n v="4083.1000000000004"/>
    <x v="1"/>
  </r>
  <r>
    <x v="2"/>
    <x v="12"/>
    <s v="Annabel"/>
    <s v="Mettick"/>
    <x v="3"/>
    <x v="99"/>
    <n v="15000"/>
    <s v="$_"/>
    <x v="1"/>
  </r>
  <r>
    <x v="2"/>
    <x v="11"/>
    <s v="Jason"/>
    <s v="Jackaki"/>
    <x v="3"/>
    <x v="100"/>
    <n v="15000"/>
    <s v="$_"/>
    <x v="0"/>
  </r>
  <r>
    <x v="2"/>
    <x v="12"/>
    <s v="Annabel"/>
    <s v="Mettick"/>
    <x v="3"/>
    <x v="101"/>
    <n v="15000"/>
    <s v="$_"/>
    <x v="0"/>
  </r>
  <r>
    <x v="2"/>
    <x v="12"/>
    <s v="Annabel"/>
    <s v="Mettick"/>
    <x v="3"/>
    <x v="102"/>
    <n v="15000"/>
    <s v="$_"/>
    <x v="0"/>
  </r>
  <r>
    <x v="2"/>
    <x v="10"/>
    <s v="Olivia"/>
    <s v="Cheung"/>
    <x v="3"/>
    <x v="103"/>
    <n v="15000"/>
    <s v="$_"/>
    <x v="0"/>
  </r>
  <r>
    <x v="2"/>
    <x v="10"/>
    <s v="Olivia"/>
    <s v="Cheung"/>
    <x v="3"/>
    <x v="104"/>
    <n v="15000"/>
    <s v="$_"/>
    <x v="1"/>
  </r>
  <r>
    <x v="2"/>
    <x v="13"/>
    <s v="Emily"/>
    <s v="Whelan"/>
    <x v="3"/>
    <x v="105"/>
    <n v="15000"/>
    <n v="2301.44"/>
    <x v="1"/>
  </r>
  <r>
    <x v="2"/>
    <x v="10"/>
    <s v="Olivia"/>
    <s v="Cheung"/>
    <x v="3"/>
    <x v="106"/>
    <n v="15000"/>
    <n v="2620"/>
    <x v="0"/>
  </r>
  <r>
    <x v="2"/>
    <x v="11"/>
    <s v="Jason"/>
    <s v="Jackaki"/>
    <x v="3"/>
    <x v="107"/>
    <n v="15000"/>
    <n v="2828.64"/>
    <x v="1"/>
  </r>
  <r>
    <x v="2"/>
    <x v="10"/>
    <s v="Olivia"/>
    <s v="Cheung"/>
    <x v="3"/>
    <x v="108"/>
    <n v="15000"/>
    <n v="3571.5400000000004"/>
    <x v="0"/>
  </r>
  <r>
    <x v="3"/>
    <x v="1"/>
    <s v="Bryan"/>
    <s v="Maldonado"/>
    <x v="0"/>
    <x v="109"/>
    <n v="15000"/>
    <s v="$_"/>
    <x v="2"/>
  </r>
  <r>
    <x v="3"/>
    <x v="1"/>
    <s v="Bryan"/>
    <s v="Maldonado"/>
    <x v="0"/>
    <x v="110"/>
    <n v="15000"/>
    <s v="$_"/>
    <x v="0"/>
  </r>
  <r>
    <x v="3"/>
    <x v="2"/>
    <s v="Ashley"/>
    <s v="Almanza"/>
    <x v="0"/>
    <x v="111"/>
    <n v="15000"/>
    <n v="1591.9700000000003"/>
    <x v="1"/>
  </r>
  <r>
    <x v="3"/>
    <x v="0"/>
    <s v="Reza"/>
    <s v="Jafari"/>
    <x v="0"/>
    <x v="112"/>
    <n v="15000"/>
    <n v="1777.6000000000001"/>
    <x v="2"/>
  </r>
  <r>
    <x v="3"/>
    <x v="14"/>
    <s v="Gordon"/>
    <s v="Beswick"/>
    <x v="0"/>
    <x v="113"/>
    <n v="15000"/>
    <n v="3666.6000000000004"/>
    <x v="0"/>
  </r>
  <r>
    <x v="3"/>
    <x v="0"/>
    <s v="Reza"/>
    <s v="Jafari"/>
    <x v="0"/>
    <x v="114"/>
    <n v="15000"/>
    <n v="3822.77"/>
    <x v="1"/>
  </r>
  <r>
    <x v="3"/>
    <x v="0"/>
    <s v="Reza"/>
    <s v="Jafari"/>
    <x v="0"/>
    <x v="115"/>
    <n v="15000"/>
    <n v="5153.12"/>
    <x v="2"/>
  </r>
  <r>
    <x v="3"/>
    <x v="6"/>
    <s v="Josh"/>
    <s v="Sutherland"/>
    <x v="1"/>
    <x v="116"/>
    <n v="15000"/>
    <s v="$_"/>
    <x v="1"/>
  </r>
  <r>
    <x v="3"/>
    <x v="4"/>
    <s v="Nina"/>
    <s v="McDonald"/>
    <x v="1"/>
    <x v="117"/>
    <n v="15000"/>
    <s v="$_"/>
    <x v="1"/>
  </r>
  <r>
    <x v="3"/>
    <x v="7"/>
    <s v="Spencer"/>
    <s v="Cruz"/>
    <x v="1"/>
    <x v="118"/>
    <n v="15000"/>
    <s v="$_"/>
    <x v="2"/>
  </r>
  <r>
    <x v="3"/>
    <x v="4"/>
    <s v="Nina"/>
    <s v="McDonald"/>
    <x v="1"/>
    <x v="119"/>
    <n v="15000"/>
    <n v="1649.9400000000003"/>
    <x v="0"/>
  </r>
  <r>
    <x v="3"/>
    <x v="6"/>
    <s v="Josh"/>
    <s v="Sutherland"/>
    <x v="1"/>
    <x v="120"/>
    <n v="15000"/>
    <n v="1696.8000000000002"/>
    <x v="2"/>
  </r>
  <r>
    <x v="3"/>
    <x v="5"/>
    <s v="Ally"/>
    <s v="Bryant"/>
    <x v="1"/>
    <x v="121"/>
    <n v="15000"/>
    <n v="1799.3500000000001"/>
    <x v="1"/>
  </r>
  <r>
    <x v="3"/>
    <x v="6"/>
    <s v="Josh"/>
    <s v="Sutherland"/>
    <x v="1"/>
    <x v="122"/>
    <n v="15000"/>
    <n v="1818.84"/>
    <x v="0"/>
  </r>
  <r>
    <x v="3"/>
    <x v="8"/>
    <s v="Chloe"/>
    <s v="Fusaro"/>
    <x v="2"/>
    <x v="123"/>
    <n v="15000"/>
    <s v="$_"/>
    <x v="2"/>
  </r>
  <r>
    <x v="3"/>
    <x v="18"/>
    <s v="Charlotte"/>
    <s v="Edwards"/>
    <x v="2"/>
    <x v="124"/>
    <n v="15000"/>
    <s v="$_"/>
    <x v="2"/>
  </r>
  <r>
    <x v="3"/>
    <x v="18"/>
    <s v="Charlotte"/>
    <s v="Edwards"/>
    <x v="2"/>
    <x v="125"/>
    <n v="15000"/>
    <n v="1720.4399999999998"/>
    <x v="1"/>
  </r>
  <r>
    <x v="3"/>
    <x v="19"/>
    <s v="Jonah"/>
    <s v="Seitz"/>
    <x v="2"/>
    <x v="126"/>
    <n v="15000"/>
    <n v="1908"/>
    <x v="0"/>
  </r>
  <r>
    <x v="3"/>
    <x v="8"/>
    <s v="Chloe"/>
    <s v="Fusaro"/>
    <x v="2"/>
    <x v="127"/>
    <n v="15000"/>
    <n v="1921.0400000000002"/>
    <x v="1"/>
  </r>
  <r>
    <x v="3"/>
    <x v="8"/>
    <s v="Chloe"/>
    <s v="Fusaro"/>
    <x v="2"/>
    <x v="128"/>
    <n v="15000"/>
    <n v="3228.2799999999997"/>
    <x v="0"/>
  </r>
  <r>
    <x v="3"/>
    <x v="16"/>
    <s v="Sarah"/>
    <s v="Gibbs"/>
    <x v="2"/>
    <x v="129"/>
    <n v="15000"/>
    <n v="3252.41"/>
    <x v="1"/>
  </r>
  <r>
    <x v="3"/>
    <x v="8"/>
    <s v="Chloe"/>
    <s v="Fusaro"/>
    <x v="2"/>
    <x v="130"/>
    <n v="15000"/>
    <n v="3515.3799999999997"/>
    <x v="1"/>
  </r>
  <r>
    <x v="3"/>
    <x v="8"/>
    <s v="Chloe"/>
    <s v="Fusaro"/>
    <x v="2"/>
    <x v="131"/>
    <n v="15000"/>
    <n v="3582"/>
    <x v="2"/>
  </r>
  <r>
    <x v="3"/>
    <x v="9"/>
    <s v="David"/>
    <s v="Wilkinson"/>
    <x v="2"/>
    <x v="132"/>
    <n v="15000"/>
    <n v="4269.04"/>
    <x v="2"/>
  </r>
  <r>
    <x v="3"/>
    <x v="17"/>
    <s v="Cory"/>
    <s v="Goodwin"/>
    <x v="3"/>
    <x v="133"/>
    <n v="15000"/>
    <s v="$_"/>
    <x v="2"/>
  </r>
  <r>
    <x v="3"/>
    <x v="13"/>
    <s v="Emily"/>
    <s v="Whelan"/>
    <x v="3"/>
    <x v="134"/>
    <n v="15000"/>
    <s v="$_"/>
    <x v="1"/>
  </r>
  <r>
    <x v="3"/>
    <x v="12"/>
    <s v="Annabel"/>
    <s v="Mettick"/>
    <x v="3"/>
    <x v="135"/>
    <n v="15000"/>
    <s v="$_"/>
    <x v="2"/>
  </r>
  <r>
    <x v="3"/>
    <x v="13"/>
    <s v="Emily"/>
    <s v="Whelan"/>
    <x v="3"/>
    <x v="136"/>
    <n v="15000"/>
    <n v="1535.3200000000002"/>
    <x v="1"/>
  </r>
  <r>
    <x v="3"/>
    <x v="10"/>
    <s v="Olivia"/>
    <s v="Cheung"/>
    <x v="3"/>
    <x v="137"/>
    <n v="15000"/>
    <n v="1899.45"/>
    <x v="0"/>
  </r>
  <r>
    <x v="3"/>
    <x v="10"/>
    <s v="Olivia"/>
    <s v="Cheung"/>
    <x v="3"/>
    <x v="138"/>
    <n v="15000"/>
    <n v="2862.8799999999997"/>
    <x v="2"/>
  </r>
  <r>
    <x v="4"/>
    <x v="3"/>
    <s v="Derek"/>
    <s v="Godwin"/>
    <x v="0"/>
    <x v="139"/>
    <n v="15000"/>
    <s v="$_"/>
    <x v="0"/>
  </r>
  <r>
    <x v="4"/>
    <x v="0"/>
    <s v="Reza"/>
    <s v="Jafari"/>
    <x v="0"/>
    <x v="140"/>
    <n v="15000"/>
    <s v="$_"/>
    <x v="2"/>
  </r>
  <r>
    <x v="4"/>
    <x v="14"/>
    <s v="Gordon"/>
    <s v="Beswick"/>
    <x v="0"/>
    <x v="141"/>
    <n v="15000"/>
    <n v="1512"/>
    <x v="0"/>
  </r>
  <r>
    <x v="4"/>
    <x v="3"/>
    <s v="Derek"/>
    <s v="Godwin"/>
    <x v="0"/>
    <x v="49"/>
    <n v="15000"/>
    <n v="1660.4400000000003"/>
    <x v="2"/>
  </r>
  <r>
    <x v="4"/>
    <x v="0"/>
    <s v="Reza"/>
    <s v="Jafari"/>
    <x v="0"/>
    <x v="142"/>
    <n v="15000"/>
    <n v="1958.4"/>
    <x v="0"/>
  </r>
  <r>
    <x v="4"/>
    <x v="2"/>
    <s v="Ashley"/>
    <s v="Almanza"/>
    <x v="0"/>
    <x v="143"/>
    <n v="15000"/>
    <n v="2654.66"/>
    <x v="0"/>
  </r>
  <r>
    <x v="4"/>
    <x v="2"/>
    <s v="Ashley"/>
    <s v="Almanza"/>
    <x v="0"/>
    <x v="144"/>
    <n v="15000"/>
    <n v="3120"/>
    <x v="0"/>
  </r>
  <r>
    <x v="4"/>
    <x v="7"/>
    <s v="Spencer"/>
    <s v="Cruz"/>
    <x v="1"/>
    <x v="145"/>
    <n v="15000"/>
    <s v="$_"/>
    <x v="1"/>
  </r>
  <r>
    <x v="4"/>
    <x v="6"/>
    <s v="Josh"/>
    <s v="Sutherland"/>
    <x v="1"/>
    <x v="146"/>
    <n v="15000"/>
    <n v="1882.6400000000003"/>
    <x v="2"/>
  </r>
  <r>
    <x v="4"/>
    <x v="6"/>
    <s v="Josh"/>
    <s v="Sutherland"/>
    <x v="1"/>
    <x v="147"/>
    <n v="15000"/>
    <n v="1961.75"/>
    <x v="2"/>
  </r>
  <r>
    <x v="4"/>
    <x v="6"/>
    <s v="Josh"/>
    <s v="Sutherland"/>
    <x v="1"/>
    <x v="148"/>
    <n v="15000"/>
    <n v="1983.6400000000003"/>
    <x v="1"/>
  </r>
  <r>
    <x v="4"/>
    <x v="5"/>
    <s v="Ally"/>
    <s v="Bryant"/>
    <x v="1"/>
    <x v="149"/>
    <n v="15000"/>
    <n v="2071.7599999999998"/>
    <x v="0"/>
  </r>
  <r>
    <x v="4"/>
    <x v="15"/>
    <s v="Tia"/>
    <s v="Cruise"/>
    <x v="1"/>
    <x v="150"/>
    <n v="15000"/>
    <n v="2336.4"/>
    <x v="0"/>
  </r>
  <r>
    <x v="4"/>
    <x v="6"/>
    <s v="Josh"/>
    <s v="Sutherland"/>
    <x v="1"/>
    <x v="151"/>
    <n v="15000"/>
    <n v="2399.7600000000002"/>
    <x v="1"/>
  </r>
  <r>
    <x v="4"/>
    <x v="7"/>
    <s v="Spencer"/>
    <s v="Cruz"/>
    <x v="1"/>
    <x v="152"/>
    <n v="15000"/>
    <n v="2791.64"/>
    <x v="2"/>
  </r>
  <r>
    <x v="4"/>
    <x v="7"/>
    <s v="Spencer"/>
    <s v="Cruz"/>
    <x v="1"/>
    <x v="153"/>
    <n v="15000"/>
    <n v="4224.91"/>
    <x v="0"/>
  </r>
  <r>
    <x v="4"/>
    <x v="9"/>
    <s v="David"/>
    <s v="Wilkinson"/>
    <x v="2"/>
    <x v="154"/>
    <n v="15000"/>
    <s v="$_"/>
    <x v="1"/>
  </r>
  <r>
    <x v="4"/>
    <x v="9"/>
    <s v="David"/>
    <s v="Wilkinson"/>
    <x v="2"/>
    <x v="155"/>
    <n v="15000"/>
    <s v="$_"/>
    <x v="2"/>
  </r>
  <r>
    <x v="4"/>
    <x v="16"/>
    <s v="Sarah"/>
    <s v="Gibbs"/>
    <x v="2"/>
    <x v="156"/>
    <n v="15000"/>
    <s v="$_"/>
    <x v="1"/>
  </r>
  <r>
    <x v="4"/>
    <x v="8"/>
    <s v="Chloe"/>
    <s v="Fusaro"/>
    <x v="2"/>
    <x v="72"/>
    <n v="15000"/>
    <n v="2793"/>
    <x v="0"/>
  </r>
  <r>
    <x v="4"/>
    <x v="17"/>
    <s v="Cory"/>
    <s v="Goodwin"/>
    <x v="3"/>
    <x v="157"/>
    <n v="15000"/>
    <s v="$_"/>
    <x v="1"/>
  </r>
  <r>
    <x v="4"/>
    <x v="11"/>
    <s v="Jason"/>
    <s v="Jackaki"/>
    <x v="3"/>
    <x v="158"/>
    <n v="15000"/>
    <s v="$_"/>
    <x v="1"/>
  </r>
  <r>
    <x v="4"/>
    <x v="13"/>
    <s v="Emily"/>
    <s v="Whelan"/>
    <x v="3"/>
    <x v="159"/>
    <n v="15000"/>
    <n v="2861.6000000000004"/>
    <x v="2"/>
  </r>
  <r>
    <x v="4"/>
    <x v="12"/>
    <s v="Annabel"/>
    <s v="Mettick"/>
    <x v="3"/>
    <x v="160"/>
    <n v="15000"/>
    <n v="3037.74"/>
    <x v="2"/>
  </r>
  <r>
    <x v="4"/>
    <x v="13"/>
    <s v="Emily"/>
    <s v="Whelan"/>
    <x v="3"/>
    <x v="161"/>
    <n v="15000"/>
    <n v="3535.1000000000004"/>
    <x v="0"/>
  </r>
  <r>
    <x v="5"/>
    <x v="2"/>
    <s v="Ashley"/>
    <s v="Almanza"/>
    <x v="0"/>
    <x v="162"/>
    <n v="15000"/>
    <s v="$_"/>
    <x v="1"/>
  </r>
  <r>
    <x v="5"/>
    <x v="0"/>
    <s v="Reza"/>
    <s v="Jafari"/>
    <x v="0"/>
    <x v="163"/>
    <n v="15000"/>
    <s v="$_"/>
    <x v="0"/>
  </r>
  <r>
    <x v="5"/>
    <x v="0"/>
    <s v="Reza"/>
    <s v="Jafari"/>
    <x v="0"/>
    <x v="164"/>
    <n v="15000"/>
    <n v="1790.4700000000003"/>
    <x v="2"/>
  </r>
  <r>
    <x v="5"/>
    <x v="0"/>
    <s v="Reza"/>
    <s v="Jafari"/>
    <x v="0"/>
    <x v="165"/>
    <n v="15000"/>
    <n v="1887.84"/>
    <x v="0"/>
  </r>
  <r>
    <x v="5"/>
    <x v="0"/>
    <s v="Reza"/>
    <s v="Jafari"/>
    <x v="0"/>
    <x v="166"/>
    <n v="15000"/>
    <n v="2344.5"/>
    <x v="0"/>
  </r>
  <r>
    <x v="5"/>
    <x v="0"/>
    <s v="Reza"/>
    <s v="Jafari"/>
    <x v="0"/>
    <x v="167"/>
    <n v="15000"/>
    <n v="3416.2000000000003"/>
    <x v="0"/>
  </r>
  <r>
    <x v="5"/>
    <x v="5"/>
    <s v="Ally"/>
    <s v="Bryant"/>
    <x v="1"/>
    <x v="168"/>
    <n v="15000"/>
    <s v="$_"/>
    <x v="0"/>
  </r>
  <r>
    <x v="5"/>
    <x v="5"/>
    <s v="Ally"/>
    <s v="Bryant"/>
    <x v="1"/>
    <x v="169"/>
    <n v="15000"/>
    <s v="$_"/>
    <x v="0"/>
  </r>
  <r>
    <x v="5"/>
    <x v="15"/>
    <s v="Tia"/>
    <s v="Cruise"/>
    <x v="1"/>
    <x v="170"/>
    <n v="15000"/>
    <n v="1506.1200000000001"/>
    <x v="0"/>
  </r>
  <r>
    <x v="5"/>
    <x v="6"/>
    <s v="Josh"/>
    <s v="Sutherland"/>
    <x v="1"/>
    <x v="171"/>
    <n v="15000"/>
    <n v="1726.2"/>
    <x v="0"/>
  </r>
  <r>
    <x v="5"/>
    <x v="7"/>
    <s v="Spencer"/>
    <s v="Cruz"/>
    <x v="1"/>
    <x v="172"/>
    <n v="15000"/>
    <n v="3719.25"/>
    <x v="2"/>
  </r>
  <r>
    <x v="5"/>
    <x v="15"/>
    <s v="Tia"/>
    <s v="Cruise"/>
    <x v="1"/>
    <x v="173"/>
    <n v="15000"/>
    <n v="3965.3900000000003"/>
    <x v="2"/>
  </r>
  <r>
    <x v="5"/>
    <x v="19"/>
    <s v="Jonah"/>
    <s v="Seitz"/>
    <x v="2"/>
    <x v="174"/>
    <n v="15000"/>
    <s v="$_"/>
    <x v="1"/>
  </r>
  <r>
    <x v="5"/>
    <x v="8"/>
    <s v="Chloe"/>
    <s v="Fusaro"/>
    <x v="2"/>
    <x v="175"/>
    <n v="15000"/>
    <s v="$_"/>
    <x v="2"/>
  </r>
  <r>
    <x v="5"/>
    <x v="19"/>
    <s v="Jonah"/>
    <s v="Seitz"/>
    <x v="2"/>
    <x v="176"/>
    <n v="15000"/>
    <s v="$_"/>
    <x v="0"/>
  </r>
  <r>
    <x v="5"/>
    <x v="9"/>
    <s v="David"/>
    <s v="Wilkinson"/>
    <x v="2"/>
    <x v="177"/>
    <n v="15000"/>
    <s v="$_"/>
    <x v="2"/>
  </r>
  <r>
    <x v="5"/>
    <x v="19"/>
    <s v="Jonah"/>
    <s v="Seitz"/>
    <x v="2"/>
    <x v="178"/>
    <n v="15000"/>
    <n v="1603.68"/>
    <x v="0"/>
  </r>
  <r>
    <x v="5"/>
    <x v="18"/>
    <s v="Charlotte"/>
    <s v="Edwards"/>
    <x v="2"/>
    <x v="179"/>
    <n v="15000"/>
    <n v="1684.68"/>
    <x v="0"/>
  </r>
  <r>
    <x v="5"/>
    <x v="13"/>
    <s v="Emily"/>
    <s v="Whelan"/>
    <x v="3"/>
    <x v="180"/>
    <n v="15000"/>
    <s v="$_"/>
    <x v="1"/>
  </r>
  <r>
    <x v="5"/>
    <x v="12"/>
    <s v="Annabel"/>
    <s v="Mettick"/>
    <x v="3"/>
    <x v="181"/>
    <n v="15000"/>
    <s v="$_"/>
    <x v="2"/>
  </r>
  <r>
    <x v="5"/>
    <x v="17"/>
    <s v="Cory"/>
    <s v="Goodwin"/>
    <x v="3"/>
    <x v="182"/>
    <n v="15000"/>
    <s v="$_"/>
    <x v="1"/>
  </r>
  <r>
    <x v="5"/>
    <x v="12"/>
    <s v="Annabel"/>
    <s v="Mettick"/>
    <x v="3"/>
    <x v="183"/>
    <n v="15000"/>
    <s v="$_"/>
    <x v="1"/>
  </r>
  <r>
    <x v="5"/>
    <x v="12"/>
    <s v="Annabel"/>
    <s v="Mettick"/>
    <x v="3"/>
    <x v="184"/>
    <n v="15000"/>
    <n v="1595.36"/>
    <x v="0"/>
  </r>
  <r>
    <x v="5"/>
    <x v="13"/>
    <s v="Emily"/>
    <s v="Whelan"/>
    <x v="3"/>
    <x v="27"/>
    <n v="15000"/>
    <n v="2556"/>
    <x v="1"/>
  </r>
  <r>
    <x v="5"/>
    <x v="12"/>
    <s v="Annabel"/>
    <s v="Mettick"/>
    <x v="3"/>
    <x v="185"/>
    <n v="15000"/>
    <n v="3569.5"/>
    <x v="0"/>
  </r>
  <r>
    <x v="6"/>
    <x v="0"/>
    <s v="Reza"/>
    <s v="Jafari"/>
    <x v="0"/>
    <x v="186"/>
    <n v="15000"/>
    <s v="$_"/>
    <x v="1"/>
  </r>
  <r>
    <x v="6"/>
    <x v="2"/>
    <s v="Ashley"/>
    <s v="Almanza"/>
    <x v="0"/>
    <x v="187"/>
    <n v="15000"/>
    <s v="$_"/>
    <x v="2"/>
  </r>
  <r>
    <x v="6"/>
    <x v="3"/>
    <s v="Derek"/>
    <s v="Godwin"/>
    <x v="0"/>
    <x v="188"/>
    <n v="15000"/>
    <s v="$_"/>
    <x v="2"/>
  </r>
  <r>
    <x v="6"/>
    <x v="0"/>
    <s v="Reza"/>
    <s v="Jafari"/>
    <x v="0"/>
    <x v="189"/>
    <n v="15000"/>
    <s v="$_"/>
    <x v="2"/>
  </r>
  <r>
    <x v="6"/>
    <x v="1"/>
    <s v="Bryan"/>
    <s v="Maldonado"/>
    <x v="0"/>
    <x v="190"/>
    <n v="15000"/>
    <s v="$_"/>
    <x v="1"/>
  </r>
  <r>
    <x v="6"/>
    <x v="2"/>
    <s v="Ashley"/>
    <s v="Almanza"/>
    <x v="0"/>
    <x v="191"/>
    <n v="15000"/>
    <n v="1661.4400000000003"/>
    <x v="1"/>
  </r>
  <r>
    <x v="6"/>
    <x v="1"/>
    <s v="Bryan"/>
    <s v="Maldonado"/>
    <x v="0"/>
    <x v="192"/>
    <n v="15000"/>
    <n v="2007.67"/>
    <x v="2"/>
  </r>
  <r>
    <x v="6"/>
    <x v="0"/>
    <s v="Reza"/>
    <s v="Jafari"/>
    <x v="0"/>
    <x v="193"/>
    <n v="15000"/>
    <n v="2148.2999999999997"/>
    <x v="2"/>
  </r>
  <r>
    <x v="6"/>
    <x v="14"/>
    <s v="Gordon"/>
    <s v="Beswick"/>
    <x v="0"/>
    <x v="194"/>
    <n v="15000"/>
    <n v="3077.6800000000003"/>
    <x v="1"/>
  </r>
  <r>
    <x v="6"/>
    <x v="15"/>
    <s v="Tia"/>
    <s v="Cruise"/>
    <x v="1"/>
    <x v="195"/>
    <n v="15000"/>
    <s v="$_"/>
    <x v="0"/>
  </r>
  <r>
    <x v="6"/>
    <x v="6"/>
    <s v="Josh"/>
    <s v="Sutherland"/>
    <x v="1"/>
    <x v="196"/>
    <n v="15000"/>
    <s v="$_"/>
    <x v="0"/>
  </r>
  <r>
    <x v="6"/>
    <x v="5"/>
    <s v="Ally"/>
    <s v="Bryant"/>
    <x v="1"/>
    <x v="197"/>
    <n v="15000"/>
    <s v="$_"/>
    <x v="2"/>
  </r>
  <r>
    <x v="6"/>
    <x v="5"/>
    <s v="Ally"/>
    <s v="Bryant"/>
    <x v="1"/>
    <x v="198"/>
    <n v="15000"/>
    <s v="$_"/>
    <x v="2"/>
  </r>
  <r>
    <x v="6"/>
    <x v="5"/>
    <s v="Ally"/>
    <s v="Bryant"/>
    <x v="1"/>
    <x v="199"/>
    <n v="15000"/>
    <s v="$_"/>
    <x v="2"/>
  </r>
  <r>
    <x v="6"/>
    <x v="6"/>
    <s v="Josh"/>
    <s v="Sutherland"/>
    <x v="1"/>
    <x v="200"/>
    <n v="15000"/>
    <s v="$_"/>
    <x v="2"/>
  </r>
  <r>
    <x v="6"/>
    <x v="7"/>
    <s v="Spencer"/>
    <s v="Cruz"/>
    <x v="1"/>
    <x v="201"/>
    <n v="15000"/>
    <s v="$_"/>
    <x v="1"/>
  </r>
  <r>
    <x v="6"/>
    <x v="5"/>
    <s v="Ally"/>
    <s v="Bryant"/>
    <x v="1"/>
    <x v="202"/>
    <n v="15000"/>
    <s v="$_"/>
    <x v="1"/>
  </r>
  <r>
    <x v="6"/>
    <x v="5"/>
    <s v="Ally"/>
    <s v="Bryant"/>
    <x v="1"/>
    <x v="203"/>
    <n v="15000"/>
    <n v="1563.32"/>
    <x v="0"/>
  </r>
  <r>
    <x v="6"/>
    <x v="5"/>
    <s v="Ally"/>
    <s v="Bryant"/>
    <x v="1"/>
    <x v="204"/>
    <n v="15000"/>
    <n v="2086.8399999999997"/>
    <x v="0"/>
  </r>
  <r>
    <x v="6"/>
    <x v="5"/>
    <s v="Ally"/>
    <s v="Bryant"/>
    <x v="1"/>
    <x v="205"/>
    <n v="15000"/>
    <n v="2439.5100000000002"/>
    <x v="1"/>
  </r>
  <r>
    <x v="6"/>
    <x v="9"/>
    <s v="David"/>
    <s v="Wilkinson"/>
    <x v="2"/>
    <x v="206"/>
    <n v="15000"/>
    <n v="1595.7200000000003"/>
    <x v="2"/>
  </r>
  <r>
    <x v="6"/>
    <x v="16"/>
    <s v="Sarah"/>
    <s v="Gibbs"/>
    <x v="2"/>
    <x v="207"/>
    <n v="15000"/>
    <n v="1649.2"/>
    <x v="1"/>
  </r>
  <r>
    <x v="6"/>
    <x v="18"/>
    <s v="Charlotte"/>
    <s v="Edwards"/>
    <x v="2"/>
    <x v="208"/>
    <n v="15000"/>
    <n v="2129.5400000000004"/>
    <x v="1"/>
  </r>
  <r>
    <x v="6"/>
    <x v="8"/>
    <s v="Chloe"/>
    <s v="Fusaro"/>
    <x v="2"/>
    <x v="209"/>
    <n v="15000"/>
    <n v="2551.8800000000006"/>
    <x v="1"/>
  </r>
  <r>
    <x v="6"/>
    <x v="8"/>
    <s v="Chloe"/>
    <s v="Fusaro"/>
    <x v="2"/>
    <x v="210"/>
    <n v="15000"/>
    <n v="2767.66"/>
    <x v="0"/>
  </r>
  <r>
    <x v="6"/>
    <x v="18"/>
    <s v="Charlotte"/>
    <s v="Edwards"/>
    <x v="2"/>
    <x v="211"/>
    <n v="15000"/>
    <n v="2839.5"/>
    <x v="2"/>
  </r>
  <r>
    <x v="6"/>
    <x v="16"/>
    <s v="Sarah"/>
    <s v="Gibbs"/>
    <x v="2"/>
    <x v="212"/>
    <n v="15000"/>
    <n v="4182.6400000000003"/>
    <x v="2"/>
  </r>
  <r>
    <x v="6"/>
    <x v="16"/>
    <s v="Sarah"/>
    <s v="Gibbs"/>
    <x v="2"/>
    <x v="213"/>
    <n v="15000"/>
    <n v="4905.5999999999995"/>
    <x v="1"/>
  </r>
  <r>
    <x v="6"/>
    <x v="17"/>
    <s v="Cory"/>
    <s v="Goodwin"/>
    <x v="3"/>
    <x v="214"/>
    <n v="15000"/>
    <s v="$_"/>
    <x v="0"/>
  </r>
  <r>
    <x v="6"/>
    <x v="13"/>
    <s v="Emily"/>
    <s v="Whelan"/>
    <x v="3"/>
    <x v="215"/>
    <n v="15000"/>
    <s v="$_"/>
    <x v="2"/>
  </r>
  <r>
    <x v="6"/>
    <x v="17"/>
    <s v="Cory"/>
    <s v="Goodwin"/>
    <x v="3"/>
    <x v="216"/>
    <n v="15000"/>
    <s v="$_"/>
    <x v="0"/>
  </r>
  <r>
    <x v="6"/>
    <x v="12"/>
    <s v="Annabel"/>
    <s v="Mettick"/>
    <x v="3"/>
    <x v="217"/>
    <n v="15000"/>
    <n v="2112.0400000000004"/>
    <x v="0"/>
  </r>
  <r>
    <x v="6"/>
    <x v="12"/>
    <s v="Annabel"/>
    <s v="Mettick"/>
    <x v="3"/>
    <x v="151"/>
    <n v="15000"/>
    <n v="2399.7600000000002"/>
    <x v="1"/>
  </r>
  <r>
    <x v="6"/>
    <x v="12"/>
    <s v="Annabel"/>
    <s v="Mettick"/>
    <x v="3"/>
    <x v="108"/>
    <n v="15000"/>
    <n v="3571.5400000000004"/>
    <x v="2"/>
  </r>
  <r>
    <x v="7"/>
    <x v="1"/>
    <s v="Bryan"/>
    <s v="Maldonado"/>
    <x v="0"/>
    <x v="218"/>
    <n v="15000"/>
    <s v="$_"/>
    <x v="0"/>
  </r>
  <r>
    <x v="7"/>
    <x v="0"/>
    <s v="Reza"/>
    <s v="Jafari"/>
    <x v="0"/>
    <x v="219"/>
    <n v="15000"/>
    <s v="$_"/>
    <x v="0"/>
  </r>
  <r>
    <x v="7"/>
    <x v="1"/>
    <s v="Bryan"/>
    <s v="Maldonado"/>
    <x v="0"/>
    <x v="220"/>
    <n v="15000"/>
    <n v="1632.16"/>
    <x v="1"/>
  </r>
  <r>
    <x v="7"/>
    <x v="0"/>
    <s v="Reza"/>
    <s v="Jafari"/>
    <x v="0"/>
    <x v="221"/>
    <n v="15000"/>
    <n v="1967.88"/>
    <x v="0"/>
  </r>
  <r>
    <x v="7"/>
    <x v="1"/>
    <s v="Bryan"/>
    <s v="Maldonado"/>
    <x v="0"/>
    <x v="222"/>
    <n v="15000"/>
    <n v="3369.4800000000005"/>
    <x v="0"/>
  </r>
  <r>
    <x v="7"/>
    <x v="3"/>
    <s v="Derek"/>
    <s v="Godwin"/>
    <x v="0"/>
    <x v="223"/>
    <n v="15000"/>
    <n v="3923.6000000000004"/>
    <x v="2"/>
  </r>
  <r>
    <x v="7"/>
    <x v="0"/>
    <s v="Reza"/>
    <s v="Jafari"/>
    <x v="0"/>
    <x v="224"/>
    <n v="15000"/>
    <n v="4308.82"/>
    <x v="1"/>
  </r>
  <r>
    <x v="7"/>
    <x v="5"/>
    <s v="Ally"/>
    <s v="Bryant"/>
    <x v="1"/>
    <x v="225"/>
    <n v="15000"/>
    <s v="$_"/>
    <x v="1"/>
  </r>
  <r>
    <x v="7"/>
    <x v="5"/>
    <s v="Ally"/>
    <s v="Bryant"/>
    <x v="1"/>
    <x v="226"/>
    <n v="15000"/>
    <s v="$_"/>
    <x v="2"/>
  </r>
  <r>
    <x v="7"/>
    <x v="5"/>
    <s v="Ally"/>
    <s v="Bryant"/>
    <x v="1"/>
    <x v="227"/>
    <n v="15000"/>
    <s v="$_"/>
    <x v="0"/>
  </r>
  <r>
    <x v="7"/>
    <x v="5"/>
    <s v="Ally"/>
    <s v="Bryant"/>
    <x v="1"/>
    <x v="228"/>
    <n v="15000"/>
    <s v="$_"/>
    <x v="2"/>
  </r>
  <r>
    <x v="7"/>
    <x v="7"/>
    <s v="Spencer"/>
    <s v="Cruz"/>
    <x v="1"/>
    <x v="229"/>
    <n v="15000"/>
    <n v="1567.0200000000002"/>
    <x v="2"/>
  </r>
  <r>
    <x v="7"/>
    <x v="6"/>
    <s v="Josh"/>
    <s v="Sutherland"/>
    <x v="1"/>
    <x v="230"/>
    <n v="15000"/>
    <n v="2247.7900000000004"/>
    <x v="0"/>
  </r>
  <r>
    <x v="7"/>
    <x v="6"/>
    <s v="Josh"/>
    <s v="Sutherland"/>
    <x v="1"/>
    <x v="231"/>
    <n v="15000"/>
    <n v="3608.81"/>
    <x v="2"/>
  </r>
  <r>
    <x v="7"/>
    <x v="4"/>
    <s v="Nina"/>
    <s v="McDonald"/>
    <x v="1"/>
    <x v="232"/>
    <n v="15000"/>
    <n v="4338.8100000000004"/>
    <x v="0"/>
  </r>
  <r>
    <x v="7"/>
    <x v="8"/>
    <s v="Chloe"/>
    <s v="Fusaro"/>
    <x v="2"/>
    <x v="233"/>
    <n v="15000"/>
    <s v="$_"/>
    <x v="2"/>
  </r>
  <r>
    <x v="7"/>
    <x v="9"/>
    <s v="David"/>
    <s v="Wilkinson"/>
    <x v="2"/>
    <x v="234"/>
    <n v="15000"/>
    <s v="$_"/>
    <x v="2"/>
  </r>
  <r>
    <x v="7"/>
    <x v="19"/>
    <s v="Jonah"/>
    <s v="Seitz"/>
    <x v="2"/>
    <x v="235"/>
    <n v="15000"/>
    <s v="$_"/>
    <x v="1"/>
  </r>
  <r>
    <x v="7"/>
    <x v="19"/>
    <s v="Jonah"/>
    <s v="Seitz"/>
    <x v="2"/>
    <x v="236"/>
    <n v="15000"/>
    <s v="$_"/>
    <x v="1"/>
  </r>
  <r>
    <x v="7"/>
    <x v="18"/>
    <s v="Charlotte"/>
    <s v="Edwards"/>
    <x v="2"/>
    <x v="237"/>
    <n v="15000"/>
    <s v="$_"/>
    <x v="0"/>
  </r>
  <r>
    <x v="7"/>
    <x v="8"/>
    <s v="Chloe"/>
    <s v="Fusaro"/>
    <x v="2"/>
    <x v="238"/>
    <n v="15000"/>
    <s v="$_"/>
    <x v="0"/>
  </r>
  <r>
    <x v="7"/>
    <x v="19"/>
    <s v="Jonah"/>
    <s v="Seitz"/>
    <x v="2"/>
    <x v="239"/>
    <n v="15000"/>
    <s v="$_"/>
    <x v="0"/>
  </r>
  <r>
    <x v="7"/>
    <x v="8"/>
    <s v="Chloe"/>
    <s v="Fusaro"/>
    <x v="2"/>
    <x v="240"/>
    <n v="15000"/>
    <s v="$_"/>
    <x v="0"/>
  </r>
  <r>
    <x v="7"/>
    <x v="19"/>
    <s v="Jonah"/>
    <s v="Seitz"/>
    <x v="2"/>
    <x v="241"/>
    <n v="15000"/>
    <n v="1829.84"/>
    <x v="2"/>
  </r>
  <r>
    <x v="7"/>
    <x v="19"/>
    <s v="Jonah"/>
    <s v="Seitz"/>
    <x v="2"/>
    <x v="242"/>
    <n v="15000"/>
    <n v="1883.84"/>
    <x v="2"/>
  </r>
  <r>
    <x v="7"/>
    <x v="16"/>
    <s v="Sarah"/>
    <s v="Gibbs"/>
    <x v="2"/>
    <x v="243"/>
    <n v="15000"/>
    <n v="2446.96"/>
    <x v="0"/>
  </r>
  <r>
    <x v="7"/>
    <x v="16"/>
    <s v="Sarah"/>
    <s v="Gibbs"/>
    <x v="2"/>
    <x v="244"/>
    <n v="15000"/>
    <n v="3105.34"/>
    <x v="1"/>
  </r>
  <r>
    <x v="7"/>
    <x v="12"/>
    <s v="Annabel"/>
    <s v="Mettick"/>
    <x v="3"/>
    <x v="245"/>
    <n v="15000"/>
    <s v="$_"/>
    <x v="0"/>
  </r>
  <r>
    <x v="7"/>
    <x v="13"/>
    <s v="Emily"/>
    <s v="Whelan"/>
    <x v="3"/>
    <x v="246"/>
    <n v="15000"/>
    <s v="$_"/>
    <x v="1"/>
  </r>
  <r>
    <x v="7"/>
    <x v="10"/>
    <s v="Olivia"/>
    <s v="Cheung"/>
    <x v="3"/>
    <x v="247"/>
    <n v="15000"/>
    <s v="$_"/>
    <x v="0"/>
  </r>
  <r>
    <x v="7"/>
    <x v="12"/>
    <s v="Annabel"/>
    <s v="Mettick"/>
    <x v="3"/>
    <x v="248"/>
    <n v="15000"/>
    <s v="$_"/>
    <x v="2"/>
  </r>
  <r>
    <x v="7"/>
    <x v="10"/>
    <s v="Olivia"/>
    <s v="Cheung"/>
    <x v="3"/>
    <x v="249"/>
    <n v="15000"/>
    <s v="$_"/>
    <x v="2"/>
  </r>
  <r>
    <x v="7"/>
    <x v="13"/>
    <s v="Emily"/>
    <s v="Whelan"/>
    <x v="3"/>
    <x v="250"/>
    <n v="15000"/>
    <n v="1759.34"/>
    <x v="0"/>
  </r>
  <r>
    <x v="7"/>
    <x v="17"/>
    <s v="Cory"/>
    <s v="Goodwin"/>
    <x v="3"/>
    <x v="251"/>
    <n v="15000"/>
    <n v="1766.6000000000001"/>
    <x v="1"/>
  </r>
  <r>
    <x v="7"/>
    <x v="12"/>
    <s v="Annabel"/>
    <s v="Mettick"/>
    <x v="3"/>
    <x v="252"/>
    <n v="15000"/>
    <n v="2142"/>
    <x v="2"/>
  </r>
  <r>
    <x v="7"/>
    <x v="10"/>
    <s v="Olivia"/>
    <s v="Cheung"/>
    <x v="3"/>
    <x v="253"/>
    <n v="15000"/>
    <n v="2408"/>
    <x v="1"/>
  </r>
  <r>
    <x v="7"/>
    <x v="13"/>
    <s v="Emily"/>
    <s v="Whelan"/>
    <x v="3"/>
    <x v="254"/>
    <n v="15000"/>
    <n v="2753.1000000000004"/>
    <x v="2"/>
  </r>
  <r>
    <x v="7"/>
    <x v="17"/>
    <s v="Cory"/>
    <s v="Goodwin"/>
    <x v="3"/>
    <x v="255"/>
    <n v="15000"/>
    <n v="3279.5700000000006"/>
    <x v="0"/>
  </r>
  <r>
    <x v="8"/>
    <x v="2"/>
    <s v="Ashley"/>
    <s v="Almanza"/>
    <x v="0"/>
    <x v="256"/>
    <n v="15000"/>
    <s v="$_"/>
    <x v="1"/>
  </r>
  <r>
    <x v="8"/>
    <x v="0"/>
    <s v="Reza"/>
    <s v="Jafari"/>
    <x v="0"/>
    <x v="257"/>
    <n v="15000"/>
    <s v="$_"/>
    <x v="0"/>
  </r>
  <r>
    <x v="8"/>
    <x v="3"/>
    <s v="Derek"/>
    <s v="Godwin"/>
    <x v="0"/>
    <x v="258"/>
    <n v="15000"/>
    <s v="$_"/>
    <x v="1"/>
  </r>
  <r>
    <x v="8"/>
    <x v="2"/>
    <s v="Ashley"/>
    <s v="Almanza"/>
    <x v="0"/>
    <x v="259"/>
    <n v="15000"/>
    <s v="$_"/>
    <x v="2"/>
  </r>
  <r>
    <x v="8"/>
    <x v="2"/>
    <s v="Ashley"/>
    <s v="Almanza"/>
    <x v="0"/>
    <x v="260"/>
    <n v="15000"/>
    <n v="1839.67"/>
    <x v="1"/>
  </r>
  <r>
    <x v="8"/>
    <x v="3"/>
    <s v="Derek"/>
    <s v="Godwin"/>
    <x v="0"/>
    <x v="261"/>
    <n v="15000"/>
    <n v="2384.96"/>
    <x v="1"/>
  </r>
  <r>
    <x v="8"/>
    <x v="1"/>
    <s v="Bryan"/>
    <s v="Maldonado"/>
    <x v="0"/>
    <x v="262"/>
    <n v="15000"/>
    <n v="2388.2399999999998"/>
    <x v="2"/>
  </r>
  <r>
    <x v="8"/>
    <x v="3"/>
    <s v="Derek"/>
    <s v="Godwin"/>
    <x v="0"/>
    <x v="263"/>
    <n v="15000"/>
    <n v="3404.1300000000006"/>
    <x v="2"/>
  </r>
  <r>
    <x v="8"/>
    <x v="15"/>
    <s v="Tia"/>
    <s v="Cruise"/>
    <x v="1"/>
    <x v="264"/>
    <n v="15000"/>
    <s v="$_"/>
    <x v="1"/>
  </r>
  <r>
    <x v="8"/>
    <x v="4"/>
    <s v="Nina"/>
    <s v="McDonald"/>
    <x v="1"/>
    <x v="265"/>
    <n v="15000"/>
    <n v="1515.2399999999998"/>
    <x v="2"/>
  </r>
  <r>
    <x v="8"/>
    <x v="5"/>
    <s v="Ally"/>
    <s v="Bryant"/>
    <x v="1"/>
    <x v="266"/>
    <n v="15000"/>
    <n v="1636.3900000000003"/>
    <x v="1"/>
  </r>
  <r>
    <x v="8"/>
    <x v="19"/>
    <s v="Jonah"/>
    <s v="Seitz"/>
    <x v="2"/>
    <x v="267"/>
    <n v="15000"/>
    <s v="$_"/>
    <x v="2"/>
  </r>
  <r>
    <x v="8"/>
    <x v="18"/>
    <s v="Charlotte"/>
    <s v="Edwards"/>
    <x v="2"/>
    <x v="268"/>
    <n v="15000"/>
    <s v="$_"/>
    <x v="1"/>
  </r>
  <r>
    <x v="8"/>
    <x v="16"/>
    <s v="Sarah"/>
    <s v="Gibbs"/>
    <x v="2"/>
    <x v="269"/>
    <n v="15000"/>
    <s v="$_"/>
    <x v="1"/>
  </r>
  <r>
    <x v="8"/>
    <x v="19"/>
    <s v="Jonah"/>
    <s v="Seitz"/>
    <x v="2"/>
    <x v="57"/>
    <n v="15000"/>
    <s v="$_"/>
    <x v="0"/>
  </r>
  <r>
    <x v="8"/>
    <x v="19"/>
    <s v="Jonah"/>
    <s v="Seitz"/>
    <x v="2"/>
    <x v="270"/>
    <n v="15000"/>
    <s v="$_"/>
    <x v="0"/>
  </r>
  <r>
    <x v="8"/>
    <x v="8"/>
    <s v="Chloe"/>
    <s v="Fusaro"/>
    <x v="2"/>
    <x v="271"/>
    <n v="15000"/>
    <n v="1670.2400000000002"/>
    <x v="0"/>
  </r>
  <r>
    <x v="8"/>
    <x v="8"/>
    <s v="Chloe"/>
    <s v="Fusaro"/>
    <x v="2"/>
    <x v="272"/>
    <n v="15000"/>
    <n v="2121.6"/>
    <x v="0"/>
  </r>
  <r>
    <x v="8"/>
    <x v="18"/>
    <s v="Charlotte"/>
    <s v="Edwards"/>
    <x v="2"/>
    <x v="273"/>
    <n v="15000"/>
    <n v="2154.6"/>
    <x v="1"/>
  </r>
  <r>
    <x v="8"/>
    <x v="18"/>
    <s v="Charlotte"/>
    <s v="Edwards"/>
    <x v="2"/>
    <x v="274"/>
    <n v="15000"/>
    <n v="3118.66"/>
    <x v="1"/>
  </r>
  <r>
    <x v="8"/>
    <x v="8"/>
    <s v="Chloe"/>
    <s v="Fusaro"/>
    <x v="2"/>
    <x v="275"/>
    <n v="15000"/>
    <n v="3199.92"/>
    <x v="0"/>
  </r>
  <r>
    <x v="8"/>
    <x v="18"/>
    <s v="Charlotte"/>
    <s v="Edwards"/>
    <x v="2"/>
    <x v="276"/>
    <n v="15000"/>
    <n v="3752"/>
    <x v="0"/>
  </r>
  <r>
    <x v="8"/>
    <x v="18"/>
    <s v="Charlotte"/>
    <s v="Edwards"/>
    <x v="2"/>
    <x v="277"/>
    <n v="15000"/>
    <n v="4121.53"/>
    <x v="2"/>
  </r>
  <r>
    <x v="8"/>
    <x v="13"/>
    <s v="Emily"/>
    <s v="Whelan"/>
    <x v="3"/>
    <x v="278"/>
    <n v="15000"/>
    <s v="$_"/>
    <x v="2"/>
  </r>
  <r>
    <x v="8"/>
    <x v="10"/>
    <s v="Olivia"/>
    <s v="Cheung"/>
    <x v="3"/>
    <x v="279"/>
    <n v="15000"/>
    <s v="$_"/>
    <x v="1"/>
  </r>
  <r>
    <x v="8"/>
    <x v="12"/>
    <s v="Annabel"/>
    <s v="Mettick"/>
    <x v="3"/>
    <x v="280"/>
    <n v="15000"/>
    <s v="$_"/>
    <x v="0"/>
  </r>
  <r>
    <x v="8"/>
    <x v="11"/>
    <s v="Jason"/>
    <s v="Jackaki"/>
    <x v="3"/>
    <x v="281"/>
    <n v="15000"/>
    <s v="$_"/>
    <x v="0"/>
  </r>
  <r>
    <x v="8"/>
    <x v="12"/>
    <s v="Annabel"/>
    <s v="Mettick"/>
    <x v="3"/>
    <x v="282"/>
    <n v="15000"/>
    <s v="$_"/>
    <x v="1"/>
  </r>
  <r>
    <x v="8"/>
    <x v="12"/>
    <s v="Annabel"/>
    <s v="Mettick"/>
    <x v="3"/>
    <x v="283"/>
    <n v="15000"/>
    <s v="$_"/>
    <x v="0"/>
  </r>
  <r>
    <x v="8"/>
    <x v="17"/>
    <s v="Cory"/>
    <s v="Goodwin"/>
    <x v="3"/>
    <x v="284"/>
    <n v="15000"/>
    <n v="1914.78"/>
    <x v="0"/>
  </r>
  <r>
    <x v="8"/>
    <x v="12"/>
    <s v="Annabel"/>
    <s v="Mettick"/>
    <x v="3"/>
    <x v="285"/>
    <n v="15000"/>
    <n v="2076.0300000000002"/>
    <x v="0"/>
  </r>
  <r>
    <x v="8"/>
    <x v="17"/>
    <s v="Cory"/>
    <s v="Goodwin"/>
    <x v="3"/>
    <x v="286"/>
    <n v="15000"/>
    <n v="2457.98"/>
    <x v="1"/>
  </r>
  <r>
    <x v="8"/>
    <x v="17"/>
    <s v="Cory"/>
    <s v="Goodwin"/>
    <x v="3"/>
    <x v="287"/>
    <n v="15000"/>
    <n v="2594.6300000000006"/>
    <x v="2"/>
  </r>
  <r>
    <x v="8"/>
    <x v="10"/>
    <s v="Olivia"/>
    <s v="Cheung"/>
    <x v="3"/>
    <x v="288"/>
    <n v="15000"/>
    <n v="3036.7999999999997"/>
    <x v="0"/>
  </r>
  <r>
    <x v="8"/>
    <x v="13"/>
    <s v="Emily"/>
    <s v="Whelan"/>
    <x v="3"/>
    <x v="289"/>
    <n v="15000"/>
    <n v="3564"/>
    <x v="1"/>
  </r>
  <r>
    <x v="9"/>
    <x v="14"/>
    <s v="Gordon"/>
    <s v="Beswick"/>
    <x v="0"/>
    <x v="290"/>
    <n v="15000"/>
    <s v="$_"/>
    <x v="1"/>
  </r>
  <r>
    <x v="9"/>
    <x v="0"/>
    <s v="Reza"/>
    <s v="Jafari"/>
    <x v="0"/>
    <x v="291"/>
    <n v="15000"/>
    <s v="$_"/>
    <x v="0"/>
  </r>
  <r>
    <x v="9"/>
    <x v="14"/>
    <s v="Gordon"/>
    <s v="Beswick"/>
    <x v="0"/>
    <x v="292"/>
    <n v="15000"/>
    <s v="$_"/>
    <x v="2"/>
  </r>
  <r>
    <x v="9"/>
    <x v="3"/>
    <s v="Derek"/>
    <s v="Godwin"/>
    <x v="0"/>
    <x v="293"/>
    <n v="15000"/>
    <n v="2003.12"/>
    <x v="2"/>
  </r>
  <r>
    <x v="9"/>
    <x v="2"/>
    <s v="Ashley"/>
    <s v="Almanza"/>
    <x v="0"/>
    <x v="294"/>
    <n v="15000"/>
    <n v="2148.52"/>
    <x v="0"/>
  </r>
  <r>
    <x v="9"/>
    <x v="1"/>
    <s v="Bryan"/>
    <s v="Maldonado"/>
    <x v="0"/>
    <x v="295"/>
    <n v="15000"/>
    <n v="2260.7200000000007"/>
    <x v="1"/>
  </r>
  <r>
    <x v="9"/>
    <x v="4"/>
    <s v="Nina"/>
    <s v="McDonald"/>
    <x v="1"/>
    <x v="296"/>
    <n v="15000"/>
    <s v="$_"/>
    <x v="1"/>
  </r>
  <r>
    <x v="9"/>
    <x v="15"/>
    <s v="Tia"/>
    <s v="Cruise"/>
    <x v="1"/>
    <x v="297"/>
    <n v="15000"/>
    <s v="$_"/>
    <x v="0"/>
  </r>
  <r>
    <x v="9"/>
    <x v="6"/>
    <s v="Josh"/>
    <s v="Sutherland"/>
    <x v="1"/>
    <x v="298"/>
    <n v="15000"/>
    <s v="$_"/>
    <x v="2"/>
  </r>
  <r>
    <x v="9"/>
    <x v="15"/>
    <s v="Tia"/>
    <s v="Cruise"/>
    <x v="1"/>
    <x v="299"/>
    <n v="15000"/>
    <s v="$_"/>
    <x v="2"/>
  </r>
  <r>
    <x v="9"/>
    <x v="6"/>
    <s v="Josh"/>
    <s v="Sutherland"/>
    <x v="1"/>
    <x v="300"/>
    <n v="15000"/>
    <s v="$_"/>
    <x v="2"/>
  </r>
  <r>
    <x v="9"/>
    <x v="6"/>
    <s v="Josh"/>
    <s v="Sutherland"/>
    <x v="1"/>
    <x v="301"/>
    <n v="15000"/>
    <n v="3653.02"/>
    <x v="0"/>
  </r>
  <r>
    <x v="9"/>
    <x v="7"/>
    <s v="Spencer"/>
    <s v="Cruz"/>
    <x v="1"/>
    <x v="302"/>
    <n v="15000"/>
    <n v="3689.62"/>
    <x v="2"/>
  </r>
  <r>
    <x v="9"/>
    <x v="4"/>
    <s v="Nina"/>
    <s v="McDonald"/>
    <x v="1"/>
    <x v="303"/>
    <n v="15000"/>
    <n v="4142.07"/>
    <x v="1"/>
  </r>
  <r>
    <x v="9"/>
    <x v="8"/>
    <s v="Chloe"/>
    <s v="Fusaro"/>
    <x v="2"/>
    <x v="304"/>
    <n v="15000"/>
    <s v="$_"/>
    <x v="0"/>
  </r>
  <r>
    <x v="9"/>
    <x v="18"/>
    <s v="Charlotte"/>
    <s v="Edwards"/>
    <x v="2"/>
    <x v="305"/>
    <n v="15000"/>
    <s v="$_"/>
    <x v="0"/>
  </r>
  <r>
    <x v="9"/>
    <x v="8"/>
    <s v="Chloe"/>
    <s v="Fusaro"/>
    <x v="2"/>
    <x v="306"/>
    <n v="15000"/>
    <s v="$_"/>
    <x v="2"/>
  </r>
  <r>
    <x v="9"/>
    <x v="18"/>
    <s v="Charlotte"/>
    <s v="Edwards"/>
    <x v="2"/>
    <x v="307"/>
    <n v="15000"/>
    <s v="$_"/>
    <x v="1"/>
  </r>
  <r>
    <x v="9"/>
    <x v="19"/>
    <s v="Jonah"/>
    <s v="Seitz"/>
    <x v="2"/>
    <x v="157"/>
    <n v="15000"/>
    <s v="$_"/>
    <x v="0"/>
  </r>
  <r>
    <x v="9"/>
    <x v="19"/>
    <s v="Jonah"/>
    <s v="Seitz"/>
    <x v="2"/>
    <x v="308"/>
    <n v="15000"/>
    <s v="$_"/>
    <x v="1"/>
  </r>
  <r>
    <x v="9"/>
    <x v="19"/>
    <s v="Jonah"/>
    <s v="Seitz"/>
    <x v="2"/>
    <x v="309"/>
    <n v="15000"/>
    <s v="$_"/>
    <x v="0"/>
  </r>
  <r>
    <x v="9"/>
    <x v="19"/>
    <s v="Jonah"/>
    <s v="Seitz"/>
    <x v="2"/>
    <x v="310"/>
    <n v="15000"/>
    <n v="1607.7"/>
    <x v="0"/>
  </r>
  <r>
    <x v="9"/>
    <x v="9"/>
    <s v="David"/>
    <s v="Wilkinson"/>
    <x v="2"/>
    <x v="70"/>
    <n v="15000"/>
    <n v="1959.4"/>
    <x v="0"/>
  </r>
  <r>
    <x v="9"/>
    <x v="8"/>
    <s v="Chloe"/>
    <s v="Fusaro"/>
    <x v="2"/>
    <x v="311"/>
    <n v="15000"/>
    <n v="1994.62"/>
    <x v="2"/>
  </r>
  <r>
    <x v="9"/>
    <x v="16"/>
    <s v="Sarah"/>
    <s v="Gibbs"/>
    <x v="2"/>
    <x v="312"/>
    <n v="15000"/>
    <n v="2677.34"/>
    <x v="2"/>
  </r>
  <r>
    <x v="9"/>
    <x v="19"/>
    <s v="Jonah"/>
    <s v="Seitz"/>
    <x v="2"/>
    <x v="313"/>
    <n v="15000"/>
    <n v="2846.4900000000002"/>
    <x v="2"/>
  </r>
  <r>
    <x v="9"/>
    <x v="18"/>
    <s v="Charlotte"/>
    <s v="Edwards"/>
    <x v="2"/>
    <x v="314"/>
    <n v="15000"/>
    <n v="3754.4800000000005"/>
    <x v="1"/>
  </r>
  <r>
    <x v="9"/>
    <x v="19"/>
    <s v="Jonah"/>
    <s v="Seitz"/>
    <x v="2"/>
    <x v="315"/>
    <n v="15000"/>
    <n v="4022.4800000000005"/>
    <x v="1"/>
  </r>
  <r>
    <x v="9"/>
    <x v="9"/>
    <s v="David"/>
    <s v="Wilkinson"/>
    <x v="2"/>
    <x v="316"/>
    <n v="15000"/>
    <n v="4359.18"/>
    <x v="1"/>
  </r>
  <r>
    <x v="9"/>
    <x v="11"/>
    <s v="Jason"/>
    <s v="Jackaki"/>
    <x v="3"/>
    <x v="317"/>
    <n v="15000"/>
    <s v="$_"/>
    <x v="0"/>
  </r>
  <r>
    <x v="9"/>
    <x v="10"/>
    <s v="Olivia"/>
    <s v="Cheung"/>
    <x v="3"/>
    <x v="318"/>
    <n v="15000"/>
    <n v="1526.28"/>
    <x v="2"/>
  </r>
  <r>
    <x v="9"/>
    <x v="17"/>
    <s v="Cory"/>
    <s v="Goodwin"/>
    <x v="3"/>
    <x v="319"/>
    <n v="15000"/>
    <n v="2079"/>
    <x v="0"/>
  </r>
  <r>
    <x v="9"/>
    <x v="11"/>
    <s v="Jason"/>
    <s v="Jackaki"/>
    <x v="3"/>
    <x v="320"/>
    <n v="15000"/>
    <n v="2187.85"/>
    <x v="1"/>
  </r>
  <r>
    <x v="9"/>
    <x v="17"/>
    <s v="Cory"/>
    <s v="Goodwin"/>
    <x v="3"/>
    <x v="321"/>
    <n v="15000"/>
    <n v="2213.6800000000003"/>
    <x v="1"/>
  </r>
  <r>
    <x v="9"/>
    <x v="17"/>
    <s v="Cory"/>
    <s v="Goodwin"/>
    <x v="3"/>
    <x v="322"/>
    <n v="15000"/>
    <n v="2324.0400000000004"/>
    <x v="0"/>
  </r>
  <r>
    <x v="9"/>
    <x v="11"/>
    <s v="Jason"/>
    <s v="Jackaki"/>
    <x v="3"/>
    <x v="323"/>
    <n v="15000"/>
    <n v="4198.96"/>
    <x v="1"/>
  </r>
  <r>
    <x v="10"/>
    <x v="3"/>
    <s v="Derek"/>
    <s v="Godwin"/>
    <x v="0"/>
    <x v="324"/>
    <n v="15000"/>
    <s v="$_"/>
    <x v="0"/>
  </r>
  <r>
    <x v="10"/>
    <x v="2"/>
    <s v="Ashley"/>
    <s v="Almanza"/>
    <x v="0"/>
    <x v="325"/>
    <n v="15000"/>
    <s v="$_"/>
    <x v="1"/>
  </r>
  <r>
    <x v="10"/>
    <x v="14"/>
    <s v="Gordon"/>
    <s v="Beswick"/>
    <x v="0"/>
    <x v="326"/>
    <n v="15000"/>
    <n v="1660.6000000000001"/>
    <x v="1"/>
  </r>
  <r>
    <x v="10"/>
    <x v="3"/>
    <s v="Derek"/>
    <s v="Godwin"/>
    <x v="0"/>
    <x v="327"/>
    <n v="15000"/>
    <n v="1776.6000000000001"/>
    <x v="1"/>
  </r>
  <r>
    <x v="10"/>
    <x v="0"/>
    <s v="Reza"/>
    <s v="Jafari"/>
    <x v="0"/>
    <x v="328"/>
    <n v="15000"/>
    <n v="2091.6"/>
    <x v="1"/>
  </r>
  <r>
    <x v="10"/>
    <x v="0"/>
    <s v="Reza"/>
    <s v="Jafari"/>
    <x v="0"/>
    <x v="329"/>
    <n v="15000"/>
    <n v="2239.65"/>
    <x v="2"/>
  </r>
  <r>
    <x v="10"/>
    <x v="3"/>
    <s v="Derek"/>
    <s v="Godwin"/>
    <x v="0"/>
    <x v="330"/>
    <n v="15000"/>
    <n v="2563.3500000000004"/>
    <x v="0"/>
  </r>
  <r>
    <x v="10"/>
    <x v="0"/>
    <s v="Reza"/>
    <s v="Jafari"/>
    <x v="0"/>
    <x v="331"/>
    <n v="15000"/>
    <n v="3737.4399999999996"/>
    <x v="2"/>
  </r>
  <r>
    <x v="10"/>
    <x v="6"/>
    <s v="Josh"/>
    <s v="Sutherland"/>
    <x v="1"/>
    <x v="332"/>
    <n v="15000"/>
    <s v="$_"/>
    <x v="0"/>
  </r>
  <r>
    <x v="10"/>
    <x v="7"/>
    <s v="Spencer"/>
    <s v="Cruz"/>
    <x v="1"/>
    <x v="333"/>
    <n v="15000"/>
    <s v="$_"/>
    <x v="2"/>
  </r>
  <r>
    <x v="10"/>
    <x v="5"/>
    <s v="Ally"/>
    <s v="Bryant"/>
    <x v="1"/>
    <x v="334"/>
    <n v="15000"/>
    <s v="$_"/>
    <x v="1"/>
  </r>
  <r>
    <x v="10"/>
    <x v="4"/>
    <s v="Nina"/>
    <s v="McDonald"/>
    <x v="1"/>
    <x v="335"/>
    <n v="15000"/>
    <n v="1680.6400000000003"/>
    <x v="1"/>
  </r>
  <r>
    <x v="10"/>
    <x v="15"/>
    <s v="Tia"/>
    <s v="Cruise"/>
    <x v="1"/>
    <x v="336"/>
    <n v="15000"/>
    <n v="2079.7200000000007"/>
    <x v="0"/>
  </r>
  <r>
    <x v="10"/>
    <x v="7"/>
    <s v="Spencer"/>
    <s v="Cruz"/>
    <x v="1"/>
    <x v="337"/>
    <n v="15000"/>
    <n v="2686.6000000000004"/>
    <x v="2"/>
  </r>
  <r>
    <x v="10"/>
    <x v="16"/>
    <s v="Sarah"/>
    <s v="Gibbs"/>
    <x v="2"/>
    <x v="338"/>
    <n v="15000"/>
    <s v="$_"/>
    <x v="0"/>
  </r>
  <r>
    <x v="10"/>
    <x v="9"/>
    <s v="David"/>
    <s v="Wilkinson"/>
    <x v="2"/>
    <x v="339"/>
    <n v="15000"/>
    <n v="2876.16"/>
    <x v="2"/>
  </r>
  <r>
    <x v="10"/>
    <x v="19"/>
    <s v="Jonah"/>
    <s v="Seitz"/>
    <x v="2"/>
    <x v="340"/>
    <n v="15000"/>
    <n v="4193.28"/>
    <x v="1"/>
  </r>
  <r>
    <x v="10"/>
    <x v="8"/>
    <s v="Chloe"/>
    <s v="Fusaro"/>
    <x v="2"/>
    <x v="341"/>
    <n v="15000"/>
    <n v="4242.7"/>
    <x v="0"/>
  </r>
  <r>
    <x v="10"/>
    <x v="16"/>
    <s v="Sarah"/>
    <s v="Gibbs"/>
    <x v="2"/>
    <x v="342"/>
    <n v="15000"/>
    <n v="4751.04"/>
    <x v="0"/>
  </r>
  <r>
    <x v="10"/>
    <x v="12"/>
    <s v="Annabel"/>
    <s v="Mettick"/>
    <x v="3"/>
    <x v="343"/>
    <n v="15000"/>
    <s v="$_"/>
    <x v="2"/>
  </r>
  <r>
    <x v="10"/>
    <x v="11"/>
    <s v="Jason"/>
    <s v="Jackaki"/>
    <x v="3"/>
    <x v="344"/>
    <n v="15000"/>
    <s v="$_"/>
    <x v="1"/>
  </r>
  <r>
    <x v="10"/>
    <x v="13"/>
    <s v="Emily"/>
    <s v="Whelan"/>
    <x v="3"/>
    <x v="345"/>
    <n v="15000"/>
    <s v="$_"/>
    <x v="0"/>
  </r>
  <r>
    <x v="10"/>
    <x v="10"/>
    <s v="Olivia"/>
    <s v="Cheung"/>
    <x v="3"/>
    <x v="346"/>
    <n v="15000"/>
    <n v="1540.3600000000004"/>
    <x v="0"/>
  </r>
  <r>
    <x v="10"/>
    <x v="12"/>
    <s v="Annabel"/>
    <s v="Mettick"/>
    <x v="3"/>
    <x v="347"/>
    <n v="15000"/>
    <n v="1639.4399999999998"/>
    <x v="0"/>
  </r>
  <r>
    <x v="10"/>
    <x v="12"/>
    <s v="Annabel"/>
    <s v="Mettick"/>
    <x v="3"/>
    <x v="326"/>
    <n v="15000"/>
    <n v="1660.6000000000001"/>
    <x v="2"/>
  </r>
  <r>
    <x v="10"/>
    <x v="10"/>
    <s v="Olivia"/>
    <s v="Cheung"/>
    <x v="3"/>
    <x v="348"/>
    <n v="15000"/>
    <n v="1845.26"/>
    <x v="2"/>
  </r>
  <r>
    <x v="10"/>
    <x v="11"/>
    <s v="Jason"/>
    <s v="Jackaki"/>
    <x v="3"/>
    <x v="349"/>
    <n v="15000"/>
    <n v="2006.25"/>
    <x v="1"/>
  </r>
  <r>
    <x v="10"/>
    <x v="17"/>
    <s v="Cory"/>
    <s v="Goodwin"/>
    <x v="3"/>
    <x v="350"/>
    <n v="15000"/>
    <n v="2290.0499999999997"/>
    <x v="1"/>
  </r>
  <r>
    <x v="10"/>
    <x v="17"/>
    <s v="Cory"/>
    <s v="Goodwin"/>
    <x v="3"/>
    <x v="351"/>
    <n v="15000"/>
    <n v="2305.7999999999997"/>
    <x v="2"/>
  </r>
  <r>
    <x v="10"/>
    <x v="12"/>
    <s v="Annabel"/>
    <s v="Mettick"/>
    <x v="3"/>
    <x v="352"/>
    <n v="15000"/>
    <n v="3756"/>
    <x v="2"/>
  </r>
  <r>
    <x v="10"/>
    <x v="11"/>
    <s v="Jason"/>
    <s v="Jackaki"/>
    <x v="3"/>
    <x v="353"/>
    <n v="15000"/>
    <n v="3857"/>
    <x v="1"/>
  </r>
  <r>
    <x v="10"/>
    <x v="10"/>
    <s v="Olivia"/>
    <s v="Cheung"/>
    <x v="3"/>
    <x v="354"/>
    <n v="15000"/>
    <n v="3919.96"/>
    <x v="2"/>
  </r>
  <r>
    <x v="11"/>
    <x v="3"/>
    <s v="Derek"/>
    <s v="Godwin"/>
    <x v="0"/>
    <x v="355"/>
    <n v="15000"/>
    <s v="$_"/>
    <x v="1"/>
  </r>
  <r>
    <x v="11"/>
    <x v="0"/>
    <s v="Reza"/>
    <s v="Jafari"/>
    <x v="0"/>
    <x v="356"/>
    <n v="15000"/>
    <s v="$_"/>
    <x v="0"/>
  </r>
  <r>
    <x v="11"/>
    <x v="2"/>
    <s v="Ashley"/>
    <s v="Almanza"/>
    <x v="0"/>
    <x v="357"/>
    <n v="15000"/>
    <s v="$_"/>
    <x v="2"/>
  </r>
  <r>
    <x v="11"/>
    <x v="14"/>
    <s v="Gordon"/>
    <s v="Beswick"/>
    <x v="0"/>
    <x v="358"/>
    <n v="15000"/>
    <s v="$_"/>
    <x v="2"/>
  </r>
  <r>
    <x v="11"/>
    <x v="3"/>
    <s v="Derek"/>
    <s v="Godwin"/>
    <x v="0"/>
    <x v="359"/>
    <n v="15000"/>
    <n v="1592.1999999999998"/>
    <x v="2"/>
  </r>
  <r>
    <x v="11"/>
    <x v="14"/>
    <s v="Gordon"/>
    <s v="Beswick"/>
    <x v="0"/>
    <x v="360"/>
    <n v="15000"/>
    <n v="3197.08"/>
    <x v="1"/>
  </r>
  <r>
    <x v="11"/>
    <x v="2"/>
    <s v="Ashley"/>
    <s v="Almanza"/>
    <x v="0"/>
    <x v="361"/>
    <n v="15000"/>
    <n v="4152"/>
    <x v="1"/>
  </r>
  <r>
    <x v="11"/>
    <x v="2"/>
    <s v="Ashley"/>
    <s v="Almanza"/>
    <x v="0"/>
    <x v="362"/>
    <n v="15000"/>
    <n v="4580.0999999999995"/>
    <x v="0"/>
  </r>
  <r>
    <x v="11"/>
    <x v="7"/>
    <s v="Spencer"/>
    <s v="Cruz"/>
    <x v="1"/>
    <x v="363"/>
    <n v="15000"/>
    <s v="$_"/>
    <x v="0"/>
  </r>
  <r>
    <x v="11"/>
    <x v="6"/>
    <s v="Josh"/>
    <s v="Sutherland"/>
    <x v="1"/>
    <x v="364"/>
    <n v="15000"/>
    <s v="$_"/>
    <x v="1"/>
  </r>
  <r>
    <x v="11"/>
    <x v="7"/>
    <s v="Spencer"/>
    <s v="Cruz"/>
    <x v="1"/>
    <x v="365"/>
    <n v="15000"/>
    <s v="$_"/>
    <x v="1"/>
  </r>
  <r>
    <x v="11"/>
    <x v="4"/>
    <s v="Nina"/>
    <s v="McDonald"/>
    <x v="1"/>
    <x v="366"/>
    <n v="15000"/>
    <s v="$_"/>
    <x v="1"/>
  </r>
  <r>
    <x v="11"/>
    <x v="9"/>
    <s v="David"/>
    <s v="Wilkinson"/>
    <x v="2"/>
    <x v="367"/>
    <n v="15000"/>
    <s v="$_"/>
    <x v="1"/>
  </r>
  <r>
    <x v="11"/>
    <x v="19"/>
    <s v="Jonah"/>
    <s v="Seitz"/>
    <x v="2"/>
    <x v="368"/>
    <n v="15000"/>
    <s v="$_"/>
    <x v="1"/>
  </r>
  <r>
    <x v="11"/>
    <x v="19"/>
    <s v="Jonah"/>
    <s v="Seitz"/>
    <x v="2"/>
    <x v="369"/>
    <n v="15000"/>
    <n v="1580.2600000000002"/>
    <x v="2"/>
  </r>
  <r>
    <x v="11"/>
    <x v="16"/>
    <s v="Sarah"/>
    <s v="Gibbs"/>
    <x v="2"/>
    <x v="370"/>
    <n v="15000"/>
    <n v="2110.33"/>
    <x v="2"/>
  </r>
  <r>
    <x v="11"/>
    <x v="16"/>
    <s v="Sarah"/>
    <s v="Gibbs"/>
    <x v="2"/>
    <x v="371"/>
    <n v="15000"/>
    <n v="2235.11"/>
    <x v="2"/>
  </r>
  <r>
    <x v="11"/>
    <x v="19"/>
    <s v="Jonah"/>
    <s v="Seitz"/>
    <x v="2"/>
    <x v="372"/>
    <n v="15000"/>
    <n v="4397.4000000000005"/>
    <x v="1"/>
  </r>
  <r>
    <x v="11"/>
    <x v="12"/>
    <s v="Annabel"/>
    <s v="Mettick"/>
    <x v="3"/>
    <x v="373"/>
    <n v="15000"/>
    <s v="$_"/>
    <x v="1"/>
  </r>
  <r>
    <x v="11"/>
    <x v="11"/>
    <s v="Jason"/>
    <s v="Jackaki"/>
    <x v="3"/>
    <x v="374"/>
    <n v="15000"/>
    <s v="$_"/>
    <x v="2"/>
  </r>
  <r>
    <x v="11"/>
    <x v="17"/>
    <s v="Cory"/>
    <s v="Goodwin"/>
    <x v="3"/>
    <x v="375"/>
    <n v="15000"/>
    <s v="$_"/>
    <x v="0"/>
  </r>
  <r>
    <x v="11"/>
    <x v="12"/>
    <s v="Annabel"/>
    <s v="Mettick"/>
    <x v="3"/>
    <x v="376"/>
    <n v="15000"/>
    <n v="2454.4"/>
    <x v="0"/>
  </r>
  <r>
    <x v="11"/>
    <x v="10"/>
    <s v="Olivia"/>
    <s v="Cheung"/>
    <x v="3"/>
    <x v="377"/>
    <n v="15000"/>
    <n v="2735.0400000000004"/>
    <x v="2"/>
  </r>
  <r>
    <x v="11"/>
    <x v="13"/>
    <s v="Emily"/>
    <s v="Whelan"/>
    <x v="3"/>
    <x v="378"/>
    <n v="15000"/>
    <n v="2884.5"/>
    <x v="0"/>
  </r>
  <r>
    <x v="11"/>
    <x v="10"/>
    <s v="Olivia"/>
    <s v="Cheung"/>
    <x v="3"/>
    <x v="379"/>
    <n v="15000"/>
    <n v="4359.35999999999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BB38C-2E7B-4308-A916-83627CFBF5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4:C17" firstHeaderRow="0" firstDataRow="1" firstDataCol="1" rowPageCount="1" colPageCount="1"/>
  <pivotFields count="11">
    <pivotField axis="axisRow" numFmtId="17" showAll="0">
      <items count="13">
        <item x="0"/>
        <item x="1"/>
        <item x="2"/>
        <item x="3"/>
        <item x="4"/>
        <item x="5"/>
        <item x="6"/>
        <item x="7"/>
        <item x="8"/>
        <item x="9"/>
        <item x="10"/>
        <item x="11"/>
        <item t="default"/>
      </items>
    </pivotField>
    <pivotField showAll="0">
      <items count="21">
        <item x="5"/>
        <item x="12"/>
        <item x="2"/>
        <item x="1"/>
        <item x="18"/>
        <item x="8"/>
        <item x="17"/>
        <item x="9"/>
        <item x="3"/>
        <item x="13"/>
        <item x="14"/>
        <item x="11"/>
        <item x="19"/>
        <item x="6"/>
        <item x="4"/>
        <item x="10"/>
        <item x="0"/>
        <item x="16"/>
        <item x="7"/>
        <item x="15"/>
        <item t="default"/>
      </items>
    </pivotField>
    <pivotField showAll="0"/>
    <pivotField showAll="0"/>
    <pivotField showAll="0">
      <items count="5">
        <item x="0"/>
        <item x="2"/>
        <item x="3"/>
        <item x="1"/>
        <item t="default"/>
      </items>
    </pivotField>
    <pivotField dataField="1" numFmtId="165" showAll="0">
      <items count="381">
        <item x="162"/>
        <item x="62"/>
        <item x="0"/>
        <item x="296"/>
        <item x="28"/>
        <item x="63"/>
        <item x="304"/>
        <item x="186"/>
        <item x="290"/>
        <item x="245"/>
        <item x="195"/>
        <item x="53"/>
        <item x="267"/>
        <item x="225"/>
        <item x="355"/>
        <item x="246"/>
        <item x="317"/>
        <item x="226"/>
        <item x="41"/>
        <item x="187"/>
        <item x="324"/>
        <item x="188"/>
        <item x="64"/>
        <item x="196"/>
        <item x="247"/>
        <item x="256"/>
        <item x="116"/>
        <item x="233"/>
        <item x="54"/>
        <item x="234"/>
        <item x="99"/>
        <item x="268"/>
        <item x="305"/>
        <item x="75"/>
        <item x="42"/>
        <item x="1"/>
        <item x="55"/>
        <item x="180"/>
        <item x="332"/>
        <item x="10"/>
        <item x="133"/>
        <item x="278"/>
        <item x="363"/>
        <item x="306"/>
        <item x="109"/>
        <item x="364"/>
        <item x="307"/>
        <item x="297"/>
        <item x="189"/>
        <item x="29"/>
        <item x="235"/>
        <item x="43"/>
        <item x="44"/>
        <item x="91"/>
        <item x="257"/>
        <item x="174"/>
        <item x="11"/>
        <item x="12"/>
        <item x="264"/>
        <item x="34"/>
        <item x="367"/>
        <item x="76"/>
        <item x="269"/>
        <item x="197"/>
        <item x="373"/>
        <item x="365"/>
        <item x="279"/>
        <item x="2"/>
        <item x="92"/>
        <item x="236"/>
        <item x="237"/>
        <item x="123"/>
        <item x="56"/>
        <item x="218"/>
        <item x="356"/>
        <item x="139"/>
        <item x="77"/>
        <item x="175"/>
        <item x="57"/>
        <item x="325"/>
        <item x="181"/>
        <item x="366"/>
        <item x="368"/>
        <item x="145"/>
        <item x="343"/>
        <item x="3"/>
        <item x="13"/>
        <item x="78"/>
        <item x="154"/>
        <item x="338"/>
        <item x="214"/>
        <item x="163"/>
        <item x="168"/>
        <item x="134"/>
        <item x="258"/>
        <item x="333"/>
        <item x="227"/>
        <item x="215"/>
        <item x="238"/>
        <item x="219"/>
        <item x="374"/>
        <item x="182"/>
        <item x="280"/>
        <item x="14"/>
        <item x="183"/>
        <item x="198"/>
        <item x="79"/>
        <item x="15"/>
        <item x="248"/>
        <item x="281"/>
        <item x="228"/>
        <item x="80"/>
        <item x="259"/>
        <item x="176"/>
        <item x="344"/>
        <item x="298"/>
        <item x="199"/>
        <item x="200"/>
        <item x="299"/>
        <item x="93"/>
        <item x="30"/>
        <item x="157"/>
        <item x="308"/>
        <item x="201"/>
        <item x="100"/>
        <item x="357"/>
        <item x="155"/>
        <item x="101"/>
        <item x="202"/>
        <item x="102"/>
        <item x="81"/>
        <item x="35"/>
        <item x="117"/>
        <item x="110"/>
        <item x="156"/>
        <item x="4"/>
        <item x="94"/>
        <item x="103"/>
        <item x="309"/>
        <item x="375"/>
        <item x="140"/>
        <item x="291"/>
        <item x="358"/>
        <item x="292"/>
        <item x="239"/>
        <item x="158"/>
        <item x="345"/>
        <item x="104"/>
        <item x="23"/>
        <item x="177"/>
        <item x="48"/>
        <item x="216"/>
        <item x="135"/>
        <item x="65"/>
        <item x="249"/>
        <item x="66"/>
        <item x="270"/>
        <item x="300"/>
        <item x="240"/>
        <item x="124"/>
        <item x="169"/>
        <item x="334"/>
        <item x="282"/>
        <item x="82"/>
        <item x="95"/>
        <item x="118"/>
        <item x="67"/>
        <item x="31"/>
        <item x="190"/>
        <item x="283"/>
        <item x="5"/>
        <item x="170"/>
        <item x="141"/>
        <item x="265"/>
        <item x="96"/>
        <item x="318"/>
        <item x="6"/>
        <item x="136"/>
        <item x="346"/>
        <item x="203"/>
        <item x="229"/>
        <item x="369"/>
        <item x="111"/>
        <item x="359"/>
        <item x="184"/>
        <item x="206"/>
        <item x="178"/>
        <item x="68"/>
        <item x="310"/>
        <item x="220"/>
        <item x="266"/>
        <item x="16"/>
        <item x="347"/>
        <item x="207"/>
        <item x="119"/>
        <item x="49"/>
        <item x="326"/>
        <item x="191"/>
        <item x="271"/>
        <item x="335"/>
        <item x="69"/>
        <item x="179"/>
        <item x="120"/>
        <item x="125"/>
        <item x="171"/>
        <item x="58"/>
        <item x="97"/>
        <item x="7"/>
        <item x="250"/>
        <item x="251"/>
        <item x="45"/>
        <item x="327"/>
        <item x="112"/>
        <item x="164"/>
        <item x="121"/>
        <item x="122"/>
        <item x="241"/>
        <item x="260"/>
        <item x="348"/>
        <item x="146"/>
        <item x="242"/>
        <item x="165"/>
        <item x="32"/>
        <item x="137"/>
        <item x="126"/>
        <item x="17"/>
        <item x="284"/>
        <item x="127"/>
        <item x="36"/>
        <item x="18"/>
        <item x="142"/>
        <item x="70"/>
        <item x="147"/>
        <item x="221"/>
        <item x="148"/>
        <item x="311"/>
        <item x="293"/>
        <item x="349"/>
        <item x="192"/>
        <item x="83"/>
        <item x="8"/>
        <item x="24"/>
        <item x="149"/>
        <item x="285"/>
        <item x="319"/>
        <item x="336"/>
        <item x="204"/>
        <item x="25"/>
        <item x="328"/>
        <item x="370"/>
        <item x="217"/>
        <item x="84"/>
        <item x="37"/>
        <item x="272"/>
        <item x="208"/>
        <item x="252"/>
        <item x="59"/>
        <item x="193"/>
        <item x="294"/>
        <item x="273"/>
        <item x="71"/>
        <item x="320"/>
        <item x="321"/>
        <item x="50"/>
        <item x="371"/>
        <item x="329"/>
        <item x="230"/>
        <item x="295"/>
        <item x="350"/>
        <item x="105"/>
        <item x="351"/>
        <item x="26"/>
        <item x="322"/>
        <item x="150"/>
        <item x="166"/>
        <item x="261"/>
        <item x="262"/>
        <item x="151"/>
        <item x="253"/>
        <item x="51"/>
        <item x="33"/>
        <item x="205"/>
        <item x="243"/>
        <item x="376"/>
        <item x="286"/>
        <item x="85"/>
        <item x="209"/>
        <item x="27"/>
        <item x="330"/>
        <item x="287"/>
        <item x="106"/>
        <item x="143"/>
        <item x="60"/>
        <item x="312"/>
        <item x="337"/>
        <item x="377"/>
        <item x="254"/>
        <item x="86"/>
        <item x="210"/>
        <item x="152"/>
        <item x="72"/>
        <item x="87"/>
        <item x="107"/>
        <item x="211"/>
        <item x="46"/>
        <item x="313"/>
        <item x="159"/>
        <item x="138"/>
        <item x="339"/>
        <item x="378"/>
        <item x="38"/>
        <item x="39"/>
        <item x="288"/>
        <item x="160"/>
        <item x="194"/>
        <item x="244"/>
        <item x="19"/>
        <item x="274"/>
        <item x="144"/>
        <item x="88"/>
        <item x="360"/>
        <item x="275"/>
        <item x="128"/>
        <item x="129"/>
        <item x="255"/>
        <item x="61"/>
        <item x="222"/>
        <item x="263"/>
        <item x="167"/>
        <item x="52"/>
        <item x="130"/>
        <item x="161"/>
        <item x="289"/>
        <item x="89"/>
        <item x="9"/>
        <item x="185"/>
        <item x="108"/>
        <item x="131"/>
        <item x="231"/>
        <item x="20"/>
        <item x="301"/>
        <item x="113"/>
        <item x="302"/>
        <item x="90"/>
        <item x="172"/>
        <item x="331"/>
        <item x="276"/>
        <item x="314"/>
        <item x="352"/>
        <item x="114"/>
        <item x="353"/>
        <item x="73"/>
        <item x="21"/>
        <item x="354"/>
        <item x="223"/>
        <item x="173"/>
        <item x="315"/>
        <item x="98"/>
        <item x="277"/>
        <item x="303"/>
        <item x="47"/>
        <item x="361"/>
        <item x="212"/>
        <item x="340"/>
        <item x="323"/>
        <item x="153"/>
        <item x="341"/>
        <item x="132"/>
        <item x="224"/>
        <item x="40"/>
        <item x="232"/>
        <item x="316"/>
        <item x="379"/>
        <item x="372"/>
        <item x="74"/>
        <item x="362"/>
        <item x="22"/>
        <item x="342"/>
        <item x="213"/>
        <item x="115"/>
        <item t="default"/>
      </items>
    </pivotField>
    <pivotField numFmtId="165" showAll="0"/>
    <pivotField showAll="0"/>
    <pivotField axis="axisPage"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pageFields count="1">
    <pageField fld="8" item="0" hier="-1"/>
  </pageFields>
  <dataFields count="2">
    <dataField name="Sales Totals" fld="5" baseField="0" baseItem="0" numFmtId="165"/>
    <dataField name="% of Grand Totals" fld="5"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88B439C7-35F4-47E2-8711-2120F2B2D2D4}" sourceName="Employee">
  <pivotTables>
    <pivotTable tabId="23" name="PivotTable1"/>
  </pivotTables>
  <data>
    <tabular pivotCacheId="677906175">
      <items count="20">
        <i x="5" s="1"/>
        <i x="12" s="1"/>
        <i x="2" s="1"/>
        <i x="1" s="1"/>
        <i x="18" s="1"/>
        <i x="8" s="1"/>
        <i x="17" s="1"/>
        <i x="9" s="1"/>
        <i x="3" s="1"/>
        <i x="13" s="1"/>
        <i x="14" s="1"/>
        <i x="11" s="1"/>
        <i x="19" s="1"/>
        <i x="6" s="1"/>
        <i x="4" s="1"/>
        <i x="10" s="1"/>
        <i x="0" s="1"/>
        <i x="16" s="1"/>
        <i x="7"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_Area" xr10:uid="{63F74EE3-AA74-4283-AE2E-4AE5627145FC}" sourceName="Sales   Area">
  <pivotTables>
    <pivotTable tabId="23" name="PivotTable1"/>
  </pivotTables>
  <data>
    <tabular pivotCacheId="67790617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9058B0E8-BB13-4E64-91DC-98F8BDF95711}" cache="Slicer_Employee" caption="Employee" style="SlicerStyleDark1" rowHeight="241300"/>
  <slicer name="Sales   Area" xr10:uid="{D5170AB5-6917-4768-87FC-2AF546B674C0}" cache="Slicer_Sales___Area" caption="Sales   Area"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ACB0E3-6DFD-403E-8828-AE9A9AA1F10B}" name="Table4" displayName="Table4" ref="A1:J391" totalsRowCount="1" headerRowDxfId="17" dataDxfId="15" headerRowBorderDxfId="16">
  <autoFilter ref="A1:J390" xr:uid="{8EACB0E3-6DFD-403E-8828-AE9A9AA1F10B}">
    <filterColumn colId="0">
      <filters>
        <dateGroupItem year="2021" month="12" dateTimeGrouping="month"/>
      </filters>
    </filterColumn>
  </autoFilter>
  <tableColumns count="10">
    <tableColumn id="1" xr3:uid="{F39AEE04-893A-4E66-BF32-2DB5021AA336}" name="Month" totalsRowLabel="Total" dataDxfId="14"/>
    <tableColumn id="2" xr3:uid="{BDC765BB-1208-4F51-80E3-3F98E08C0E0B}" name="Employee"/>
    <tableColumn id="3" xr3:uid="{13F185B5-CAE9-46D3-8D5F-AF885265AA8B}" name="First Name"/>
    <tableColumn id="4" xr3:uid="{D022BB89-C04C-4AA3-A5BE-083BFFABD2D0}" name="Last Name"/>
    <tableColumn id="5" xr3:uid="{51BA42B0-AEE8-4FD4-A71B-2040BF40CEDA}" name="Sales   Area"/>
    <tableColumn id="6" xr3:uid="{D23FCC0C-5096-4299-A710-6BAAA89E4FC0}" name="Sales Amount" totalsRowFunction="custom" dataDxfId="13" totalsRowDxfId="12">
      <totalsRowFormula>SUM(Table4[Sales Amount])</totalsRowFormula>
    </tableColumn>
    <tableColumn id="7" xr3:uid="{054BA58F-8B64-4E42-875C-3C3B15F71F30}" name="Target" dataDxfId="11" totalsRowDxfId="10"/>
    <tableColumn id="8" xr3:uid="{A146FD28-B0E9-4CBB-BEFC-0CBA325124A1}" name="Commission" totalsRowFunction="custom" dataDxfId="9" totalsRowDxfId="8">
      <calculatedColumnFormula>IF(F2&gt;=G2, F2*Commission, "$_")</calculatedColumnFormula>
      <totalsRowFormula>SUM(Table4[Commission])</totalsRowFormula>
    </tableColumn>
    <tableColumn id="9" xr3:uid="{50275FC6-A77F-42AC-A55D-3F75B75DC5F0}" name="    Payment Type"/>
    <tableColumn id="10" xr3:uid="{7E6AFA2F-9978-4772-BE7F-04C262BFCD09}" name="Over/Under" totalsRowFunction="custom" dataDxfId="7" totalsRowDxfId="6">
      <calculatedColumnFormula>SUM(Table4[[#This Row],[Sales Amount]]-Table4[[#This Row],[Target]])</calculatedColumnFormula>
      <totalsRowFormula>SUM(Table4[Over/Under])</totalsRow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A9E3-4491-4CA8-9C2D-52DC5FA2E02E}">
  <sheetPr>
    <tabColor rgb="FF00B0F0"/>
  </sheetPr>
  <dimension ref="B3:H17"/>
  <sheetViews>
    <sheetView tabSelected="1" topLeftCell="A3" zoomScaleNormal="100" workbookViewId="0">
      <selection activeCell="J14" sqref="J14"/>
    </sheetView>
  </sheetViews>
  <sheetFormatPr defaultRowHeight="14.5" x14ac:dyDescent="0.35"/>
  <cols>
    <col min="3" max="3" width="15.26953125" customWidth="1"/>
  </cols>
  <sheetData>
    <row r="3" spans="2:8" ht="15" thickBot="1" x14ac:dyDescent="0.4">
      <c r="B3" s="31"/>
      <c r="C3" s="31"/>
      <c r="D3" s="31"/>
      <c r="E3" s="31"/>
      <c r="F3" s="31"/>
      <c r="G3" s="31"/>
      <c r="H3" s="31"/>
    </row>
    <row r="4" spans="2:8" ht="56.25" customHeight="1" thickTop="1" thickBot="1" x14ac:dyDescent="0.4">
      <c r="B4" s="32" t="s">
        <v>131</v>
      </c>
      <c r="C4" s="32"/>
      <c r="D4" s="32"/>
      <c r="E4" s="32"/>
      <c r="F4" s="32"/>
      <c r="G4" s="35"/>
      <c r="H4" s="35"/>
    </row>
    <row r="5" spans="2:8" ht="15" thickTop="1" x14ac:dyDescent="0.35"/>
    <row r="7" spans="2:8" x14ac:dyDescent="0.35">
      <c r="B7" s="36" t="s">
        <v>126</v>
      </c>
    </row>
    <row r="8" spans="2:8" x14ac:dyDescent="0.35">
      <c r="C8" s="34" t="s">
        <v>127</v>
      </c>
    </row>
    <row r="9" spans="2:8" x14ac:dyDescent="0.35">
      <c r="C9" t="s">
        <v>134</v>
      </c>
    </row>
    <row r="10" spans="2:8" x14ac:dyDescent="0.35">
      <c r="D10" s="33" t="s">
        <v>31</v>
      </c>
    </row>
    <row r="11" spans="2:8" x14ac:dyDescent="0.35">
      <c r="D11" s="33" t="s">
        <v>24</v>
      </c>
    </row>
    <row r="12" spans="2:8" x14ac:dyDescent="0.35">
      <c r="D12" s="33" t="s">
        <v>8</v>
      </c>
    </row>
    <row r="13" spans="2:8" x14ac:dyDescent="0.35">
      <c r="D13" s="33" t="s">
        <v>20</v>
      </c>
    </row>
    <row r="14" spans="2:8" x14ac:dyDescent="0.35">
      <c r="C14" s="34" t="s">
        <v>128</v>
      </c>
    </row>
    <row r="15" spans="2:8" x14ac:dyDescent="0.35">
      <c r="C15" s="33" t="s">
        <v>129</v>
      </c>
    </row>
    <row r="16" spans="2:8" x14ac:dyDescent="0.35">
      <c r="C16" s="34" t="s">
        <v>130</v>
      </c>
    </row>
    <row r="17" spans="3:3" x14ac:dyDescent="0.35">
      <c r="C17" s="34" t="s">
        <v>132</v>
      </c>
    </row>
  </sheetData>
  <hyperlinks>
    <hyperlink ref="C8" location="'All Sales'!A1" display="'All Sales" xr:uid="{B9EDB4F2-6CDF-41C4-BFB7-4BBA39DBFF25}"/>
    <hyperlink ref="D10" location="North!A1" display="North" xr:uid="{30DD3A31-B669-42F7-AC07-448F1FAE387A}"/>
    <hyperlink ref="D11" location="South!A1" display="South" xr:uid="{C73C9D6F-9C51-46D2-B2A4-4DDC914BA984}"/>
    <hyperlink ref="D12" location="East!A1" display="East" xr:uid="{0D77FB87-D0CE-4C9C-B361-8D90DE50F29D}"/>
    <hyperlink ref="D13" location="West!A1" display="West" xr:uid="{1F222B71-34F5-48E1-AEFC-27D9547E8562}"/>
    <hyperlink ref="C14" location="'Copy of All Sales'!A1" display="'Copy of All Sales" xr:uid="{B3A7240D-1A1A-48AD-A504-0BF09AA3ACD4}"/>
    <hyperlink ref="C15" location="Chart!A1" display="Chart" xr:uid="{E1CAC225-D090-4609-85ED-78B7A10A62BB}"/>
    <hyperlink ref="C16" location="'Sales Analysis'!A1" display="'Sales Analysis" xr:uid="{60C1FDE7-6E54-4A1D-AF90-7E19D6875D56}"/>
    <hyperlink ref="C17" location="'New Stuff'!A1" display="'New Stuff" xr:uid="{3414F312-EE4C-4132-A825-F559A04769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0037-2BC2-4571-9E50-1EF9658C6B29}">
  <sheetPr>
    <tabColor theme="9"/>
  </sheetPr>
  <dimension ref="A1:O750"/>
  <sheetViews>
    <sheetView workbookViewId="0">
      <selection activeCell="I1" sqref="I1"/>
    </sheetView>
  </sheetViews>
  <sheetFormatPr defaultRowHeight="14.5" x14ac:dyDescent="0.35"/>
  <cols>
    <col min="1" max="1" width="13.7265625" bestFit="1" customWidth="1"/>
    <col min="2" max="2" width="17.453125" bestFit="1" customWidth="1"/>
    <col min="3" max="3" width="18.7265625" bestFit="1" customWidth="1"/>
    <col min="4" max="4" width="18.36328125" bestFit="1" customWidth="1"/>
    <col min="5" max="5" width="10.81640625" bestFit="1" customWidth="1"/>
    <col min="6" max="6" width="22.26953125" style="3" bestFit="1" customWidth="1"/>
    <col min="7" max="7" width="13.26953125" style="3" bestFit="1" customWidth="1"/>
    <col min="8" max="8" width="20.36328125" style="3" bestFit="1" customWidth="1"/>
    <col min="9" max="9" width="22.90625" bestFit="1" customWidth="1"/>
    <col min="11" max="11" width="16.6328125" style="4" bestFit="1" customWidth="1"/>
    <col min="12" max="12" width="4.26953125" bestFit="1" customWidth="1"/>
    <col min="15" max="15" width="16.54296875" bestFit="1" customWidth="1"/>
  </cols>
  <sheetData>
    <row r="1" spans="1:15" ht="42.5" thickBot="1" x14ac:dyDescent="0.55000000000000004">
      <c r="A1" s="7" t="s">
        <v>0</v>
      </c>
      <c r="B1" s="7" t="s">
        <v>1</v>
      </c>
      <c r="C1" s="7" t="s">
        <v>2</v>
      </c>
      <c r="D1" s="7" t="s">
        <v>3</v>
      </c>
      <c r="E1" s="23" t="s">
        <v>84</v>
      </c>
      <c r="F1" s="8" t="s">
        <v>4</v>
      </c>
      <c r="G1" s="8" t="s">
        <v>85</v>
      </c>
      <c r="H1" s="8" t="s">
        <v>86</v>
      </c>
      <c r="I1" s="7" t="s">
        <v>95</v>
      </c>
      <c r="K1" s="5" t="s">
        <v>87</v>
      </c>
      <c r="L1" s="6">
        <v>0.1</v>
      </c>
      <c r="O1" s="34" t="s">
        <v>133</v>
      </c>
    </row>
    <row r="2" spans="1:15" ht="15" thickTop="1" x14ac:dyDescent="0.35">
      <c r="A2" s="2">
        <v>44197</v>
      </c>
      <c r="B2" t="s">
        <v>14</v>
      </c>
      <c r="C2" t="s">
        <v>15</v>
      </c>
      <c r="D2" t="s">
        <v>16</v>
      </c>
      <c r="E2" t="s">
        <v>8</v>
      </c>
      <c r="F2" s="3">
        <v>2954.7</v>
      </c>
      <c r="G2" s="3">
        <v>15000</v>
      </c>
      <c r="H2" s="3" t="str">
        <f t="shared" ref="H2:H65" si="0">IF(F2&gt;=G2, F2*Commission, "$_")</f>
        <v>$_</v>
      </c>
      <c r="I2" t="s">
        <v>13</v>
      </c>
    </row>
    <row r="3" spans="1:15" x14ac:dyDescent="0.35">
      <c r="A3" s="2">
        <v>44197</v>
      </c>
      <c r="B3" t="s">
        <v>66</v>
      </c>
      <c r="C3" t="s">
        <v>67</v>
      </c>
      <c r="D3" t="s">
        <v>68</v>
      </c>
      <c r="E3" t="s">
        <v>8</v>
      </c>
      <c r="F3" s="3">
        <v>6796.7999999999993</v>
      </c>
      <c r="G3" s="3">
        <v>15000</v>
      </c>
      <c r="H3" s="3" t="str">
        <f t="shared" si="0"/>
        <v>$_</v>
      </c>
      <c r="I3" t="s">
        <v>9</v>
      </c>
    </row>
    <row r="4" spans="1:15" x14ac:dyDescent="0.35">
      <c r="A4" s="2">
        <v>44197</v>
      </c>
      <c r="B4" t="s">
        <v>66</v>
      </c>
      <c r="C4" t="s">
        <v>67</v>
      </c>
      <c r="D4" t="s">
        <v>68</v>
      </c>
      <c r="E4" t="s">
        <v>8</v>
      </c>
      <c r="F4" s="3">
        <v>8188</v>
      </c>
      <c r="G4" s="3">
        <v>15000</v>
      </c>
      <c r="H4" s="3" t="str">
        <f t="shared" si="0"/>
        <v>$_</v>
      </c>
      <c r="I4" t="s">
        <v>41</v>
      </c>
    </row>
    <row r="5" spans="1:15" x14ac:dyDescent="0.35">
      <c r="A5" s="2">
        <v>44197</v>
      </c>
      <c r="B5" t="s">
        <v>14</v>
      </c>
      <c r="C5" t="s">
        <v>15</v>
      </c>
      <c r="D5" t="s">
        <v>16</v>
      </c>
      <c r="E5" t="s">
        <v>8</v>
      </c>
      <c r="F5" s="3">
        <v>9058.4</v>
      </c>
      <c r="G5" s="3">
        <v>15000</v>
      </c>
      <c r="H5" s="3" t="str">
        <f t="shared" si="0"/>
        <v>$_</v>
      </c>
      <c r="I5" t="s">
        <v>9</v>
      </c>
    </row>
    <row r="6" spans="1:15" x14ac:dyDescent="0.35">
      <c r="A6" s="2">
        <v>44197</v>
      </c>
      <c r="B6" t="s">
        <v>66</v>
      </c>
      <c r="C6" t="s">
        <v>67</v>
      </c>
      <c r="D6" t="s">
        <v>68</v>
      </c>
      <c r="E6" t="s">
        <v>8</v>
      </c>
      <c r="F6" s="3">
        <v>12096</v>
      </c>
      <c r="G6" s="3">
        <v>15000</v>
      </c>
      <c r="H6" s="3" t="str">
        <f t="shared" si="0"/>
        <v>$_</v>
      </c>
      <c r="I6" t="s">
        <v>41</v>
      </c>
    </row>
    <row r="7" spans="1:15" x14ac:dyDescent="0.35">
      <c r="A7" s="2">
        <v>44197</v>
      </c>
      <c r="B7" t="s">
        <v>5</v>
      </c>
      <c r="C7" t="s">
        <v>6</v>
      </c>
      <c r="D7" t="s">
        <v>7</v>
      </c>
      <c r="E7" t="s">
        <v>8</v>
      </c>
      <c r="F7" s="3">
        <v>15029</v>
      </c>
      <c r="G7" s="3">
        <v>15000</v>
      </c>
      <c r="H7" s="3">
        <f t="shared" si="0"/>
        <v>1502.9</v>
      </c>
      <c r="I7" t="s">
        <v>13</v>
      </c>
    </row>
    <row r="8" spans="1:15" x14ac:dyDescent="0.35">
      <c r="A8" s="2">
        <v>44197</v>
      </c>
      <c r="B8" t="s">
        <v>5</v>
      </c>
      <c r="C8" t="s">
        <v>6</v>
      </c>
      <c r="D8" t="s">
        <v>7</v>
      </c>
      <c r="E8" t="s">
        <v>8</v>
      </c>
      <c r="F8" s="3">
        <v>15264</v>
      </c>
      <c r="G8" s="3">
        <v>15000</v>
      </c>
      <c r="H8" s="3">
        <f t="shared" si="0"/>
        <v>1526.4</v>
      </c>
      <c r="I8" t="s">
        <v>13</v>
      </c>
    </row>
    <row r="9" spans="1:15" x14ac:dyDescent="0.35">
      <c r="A9" s="2">
        <v>44197</v>
      </c>
      <c r="B9" t="s">
        <v>5</v>
      </c>
      <c r="C9" t="s">
        <v>6</v>
      </c>
      <c r="D9" t="s">
        <v>7</v>
      </c>
      <c r="E9" t="s">
        <v>8</v>
      </c>
      <c r="F9" s="3">
        <v>17353.599999999999</v>
      </c>
      <c r="G9" s="3">
        <v>15000</v>
      </c>
      <c r="H9" s="3">
        <f t="shared" si="0"/>
        <v>1735.36</v>
      </c>
      <c r="I9" t="s">
        <v>9</v>
      </c>
    </row>
    <row r="10" spans="1:15" x14ac:dyDescent="0.35">
      <c r="A10" s="2">
        <v>44197</v>
      </c>
      <c r="B10" t="s">
        <v>10</v>
      </c>
      <c r="C10" t="s">
        <v>11</v>
      </c>
      <c r="D10" t="s">
        <v>12</v>
      </c>
      <c r="E10" t="s">
        <v>8</v>
      </c>
      <c r="F10" s="3">
        <v>20140</v>
      </c>
      <c r="G10" s="3">
        <v>15000</v>
      </c>
      <c r="H10" s="3">
        <f t="shared" si="0"/>
        <v>2014</v>
      </c>
      <c r="I10" t="s">
        <v>41</v>
      </c>
    </row>
    <row r="11" spans="1:15" x14ac:dyDescent="0.35">
      <c r="A11" s="2">
        <v>44197</v>
      </c>
      <c r="B11" t="s">
        <v>10</v>
      </c>
      <c r="C11" t="s">
        <v>11</v>
      </c>
      <c r="D11" t="s">
        <v>12</v>
      </c>
      <c r="E11" t="s">
        <v>8</v>
      </c>
      <c r="F11" s="3">
        <v>35649</v>
      </c>
      <c r="G11" s="3">
        <v>15000</v>
      </c>
      <c r="H11" s="3">
        <f t="shared" si="0"/>
        <v>3564.9</v>
      </c>
      <c r="I11" t="s">
        <v>9</v>
      </c>
    </row>
    <row r="12" spans="1:15" x14ac:dyDescent="0.35">
      <c r="A12" s="2">
        <v>44197</v>
      </c>
      <c r="B12" t="s">
        <v>17</v>
      </c>
      <c r="C12" t="s">
        <v>18</v>
      </c>
      <c r="D12" t="s">
        <v>19</v>
      </c>
      <c r="E12" t="s">
        <v>20</v>
      </c>
      <c r="F12" s="3">
        <v>6945.4</v>
      </c>
      <c r="G12" s="3">
        <v>15000</v>
      </c>
      <c r="H12" s="3" t="str">
        <f t="shared" si="0"/>
        <v>$_</v>
      </c>
      <c r="I12" t="s">
        <v>41</v>
      </c>
    </row>
    <row r="13" spans="1:15" x14ac:dyDescent="0.35">
      <c r="A13" s="2">
        <v>44197</v>
      </c>
      <c r="B13" t="s">
        <v>17</v>
      </c>
      <c r="C13" t="s">
        <v>18</v>
      </c>
      <c r="D13" t="s">
        <v>19</v>
      </c>
      <c r="E13" t="s">
        <v>20</v>
      </c>
      <c r="F13" s="3">
        <v>7658.2000000000007</v>
      </c>
      <c r="G13" s="3">
        <v>15000</v>
      </c>
      <c r="H13" s="3" t="str">
        <f t="shared" si="0"/>
        <v>$_</v>
      </c>
      <c r="I13" t="s">
        <v>41</v>
      </c>
    </row>
    <row r="14" spans="1:15" x14ac:dyDescent="0.35">
      <c r="A14" s="2">
        <v>44197</v>
      </c>
      <c r="B14" t="s">
        <v>42</v>
      </c>
      <c r="C14" t="s">
        <v>43</v>
      </c>
      <c r="D14" t="s">
        <v>44</v>
      </c>
      <c r="E14" t="s">
        <v>20</v>
      </c>
      <c r="F14" s="3">
        <v>7658.5999999999985</v>
      </c>
      <c r="G14" s="3">
        <v>15000</v>
      </c>
      <c r="H14" s="3" t="str">
        <f t="shared" si="0"/>
        <v>$_</v>
      </c>
      <c r="I14" t="s">
        <v>13</v>
      </c>
    </row>
    <row r="15" spans="1:15" x14ac:dyDescent="0.35">
      <c r="A15" s="2">
        <v>44197</v>
      </c>
      <c r="B15" t="s">
        <v>51</v>
      </c>
      <c r="C15" t="s">
        <v>52</v>
      </c>
      <c r="D15" t="s">
        <v>53</v>
      </c>
      <c r="E15" t="s">
        <v>20</v>
      </c>
      <c r="F15" s="3">
        <v>9098.6</v>
      </c>
      <c r="G15" s="3">
        <v>15000</v>
      </c>
      <c r="H15" s="3" t="str">
        <f t="shared" si="0"/>
        <v>$_</v>
      </c>
      <c r="I15" t="s">
        <v>41</v>
      </c>
    </row>
    <row r="16" spans="1:15" x14ac:dyDescent="0.35">
      <c r="A16" s="2">
        <v>44197</v>
      </c>
      <c r="B16" t="s">
        <v>17</v>
      </c>
      <c r="C16" t="s">
        <v>18</v>
      </c>
      <c r="D16" t="s">
        <v>19</v>
      </c>
      <c r="E16" t="s">
        <v>20</v>
      </c>
      <c r="F16" s="3">
        <v>10019.199999999999</v>
      </c>
      <c r="G16" s="3">
        <v>15000</v>
      </c>
      <c r="H16" s="3" t="str">
        <f t="shared" si="0"/>
        <v>$_</v>
      </c>
      <c r="I16" t="s">
        <v>41</v>
      </c>
    </row>
    <row r="17" spans="1:9" x14ac:dyDescent="0.35">
      <c r="A17" s="2">
        <v>44197</v>
      </c>
      <c r="B17" t="s">
        <v>42</v>
      </c>
      <c r="C17" t="s">
        <v>43</v>
      </c>
      <c r="D17" t="s">
        <v>44</v>
      </c>
      <c r="E17" t="s">
        <v>20</v>
      </c>
      <c r="F17" s="3">
        <v>10176</v>
      </c>
      <c r="G17" s="3">
        <v>15000</v>
      </c>
      <c r="H17" s="3" t="str">
        <f t="shared" si="0"/>
        <v>$_</v>
      </c>
      <c r="I17" t="s">
        <v>13</v>
      </c>
    </row>
    <row r="18" spans="1:9" x14ac:dyDescent="0.35">
      <c r="A18" s="2">
        <v>44197</v>
      </c>
      <c r="B18" t="s">
        <v>51</v>
      </c>
      <c r="C18" t="s">
        <v>52</v>
      </c>
      <c r="D18" t="s">
        <v>53</v>
      </c>
      <c r="E18" t="s">
        <v>20</v>
      </c>
      <c r="F18" s="3">
        <v>16385.600000000002</v>
      </c>
      <c r="G18" s="3">
        <v>15000</v>
      </c>
      <c r="H18" s="3">
        <f t="shared" si="0"/>
        <v>1638.5600000000004</v>
      </c>
      <c r="I18" t="s">
        <v>9</v>
      </c>
    </row>
    <row r="19" spans="1:9" x14ac:dyDescent="0.35">
      <c r="A19" s="2">
        <v>44197</v>
      </c>
      <c r="B19" t="s">
        <v>42</v>
      </c>
      <c r="C19" t="s">
        <v>43</v>
      </c>
      <c r="D19" t="s">
        <v>44</v>
      </c>
      <c r="E19" t="s">
        <v>20</v>
      </c>
      <c r="F19" s="3">
        <v>19108</v>
      </c>
      <c r="G19" s="3">
        <v>15000</v>
      </c>
      <c r="H19" s="3">
        <f t="shared" si="0"/>
        <v>1910.8000000000002</v>
      </c>
      <c r="I19" t="s">
        <v>13</v>
      </c>
    </row>
    <row r="20" spans="1:9" x14ac:dyDescent="0.35">
      <c r="A20" s="2">
        <v>44197</v>
      </c>
      <c r="B20" t="s">
        <v>17</v>
      </c>
      <c r="C20" t="s">
        <v>18</v>
      </c>
      <c r="D20" t="s">
        <v>19</v>
      </c>
      <c r="E20" t="s">
        <v>20</v>
      </c>
      <c r="F20" s="3">
        <v>19456</v>
      </c>
      <c r="G20" s="3">
        <v>15000</v>
      </c>
      <c r="H20" s="3">
        <f t="shared" si="0"/>
        <v>1945.6000000000001</v>
      </c>
      <c r="I20" t="s">
        <v>9</v>
      </c>
    </row>
    <row r="21" spans="1:9" x14ac:dyDescent="0.35">
      <c r="A21" s="2">
        <v>44197</v>
      </c>
      <c r="B21" t="s">
        <v>63</v>
      </c>
      <c r="C21" t="s">
        <v>64</v>
      </c>
      <c r="D21" t="s">
        <v>65</v>
      </c>
      <c r="E21" t="s">
        <v>20</v>
      </c>
      <c r="F21" s="3">
        <v>31127.199999999997</v>
      </c>
      <c r="G21" s="3">
        <v>15000</v>
      </c>
      <c r="H21" s="3">
        <f t="shared" si="0"/>
        <v>3112.72</v>
      </c>
      <c r="I21" t="s">
        <v>41</v>
      </c>
    </row>
    <row r="22" spans="1:9" x14ac:dyDescent="0.35">
      <c r="A22" s="2">
        <v>44197</v>
      </c>
      <c r="B22" t="s">
        <v>63</v>
      </c>
      <c r="C22" t="s">
        <v>64</v>
      </c>
      <c r="D22" t="s">
        <v>65</v>
      </c>
      <c r="E22" t="s">
        <v>20</v>
      </c>
      <c r="F22" s="3">
        <v>36372.1</v>
      </c>
      <c r="G22" s="3">
        <v>15000</v>
      </c>
      <c r="H22" s="3">
        <f t="shared" si="0"/>
        <v>3637.21</v>
      </c>
      <c r="I22" t="s">
        <v>9</v>
      </c>
    </row>
    <row r="23" spans="1:9" x14ac:dyDescent="0.35">
      <c r="A23" s="2">
        <v>44197</v>
      </c>
      <c r="B23" t="s">
        <v>42</v>
      </c>
      <c r="C23" t="s">
        <v>43</v>
      </c>
      <c r="D23" t="s">
        <v>44</v>
      </c>
      <c r="E23" t="s">
        <v>20</v>
      </c>
      <c r="F23" s="3">
        <v>39186</v>
      </c>
      <c r="G23" s="3">
        <v>15000</v>
      </c>
      <c r="H23" s="3">
        <f t="shared" si="0"/>
        <v>3918.6000000000004</v>
      </c>
      <c r="I23" t="s">
        <v>13</v>
      </c>
    </row>
    <row r="24" spans="1:9" x14ac:dyDescent="0.35">
      <c r="A24" s="2">
        <v>44197</v>
      </c>
      <c r="B24" t="s">
        <v>63</v>
      </c>
      <c r="C24" t="s">
        <v>64</v>
      </c>
      <c r="D24" t="s">
        <v>65</v>
      </c>
      <c r="E24" t="s">
        <v>20</v>
      </c>
      <c r="F24" s="3">
        <v>46715.999999999993</v>
      </c>
      <c r="G24" s="3">
        <v>15000</v>
      </c>
      <c r="H24" s="3">
        <f t="shared" si="0"/>
        <v>4671.5999999999995</v>
      </c>
      <c r="I24" t="s">
        <v>9</v>
      </c>
    </row>
    <row r="25" spans="1:9" x14ac:dyDescent="0.35">
      <c r="A25" s="2">
        <v>44197</v>
      </c>
      <c r="B25" t="s">
        <v>28</v>
      </c>
      <c r="C25" t="s">
        <v>29</v>
      </c>
      <c r="D25" t="s">
        <v>30</v>
      </c>
      <c r="E25" t="s">
        <v>31</v>
      </c>
      <c r="F25" s="3">
        <v>13310.4</v>
      </c>
      <c r="G25" s="3">
        <v>15000</v>
      </c>
      <c r="H25" s="3" t="str">
        <f t="shared" si="0"/>
        <v>$_</v>
      </c>
      <c r="I25" t="s">
        <v>9</v>
      </c>
    </row>
    <row r="26" spans="1:9" x14ac:dyDescent="0.35">
      <c r="A26" s="2">
        <v>44197</v>
      </c>
      <c r="B26" t="s">
        <v>57</v>
      </c>
      <c r="C26" t="s">
        <v>58</v>
      </c>
      <c r="D26" t="s">
        <v>59</v>
      </c>
      <c r="E26" t="s">
        <v>31</v>
      </c>
      <c r="F26" s="3">
        <v>20366.100000000002</v>
      </c>
      <c r="G26" s="3">
        <v>15000</v>
      </c>
      <c r="H26" s="3">
        <f t="shared" si="0"/>
        <v>2036.6100000000004</v>
      </c>
      <c r="I26" t="s">
        <v>41</v>
      </c>
    </row>
    <row r="27" spans="1:9" x14ac:dyDescent="0.35">
      <c r="A27" s="2">
        <v>44197</v>
      </c>
      <c r="B27" t="s">
        <v>57</v>
      </c>
      <c r="C27" t="s">
        <v>58</v>
      </c>
      <c r="D27" t="s">
        <v>59</v>
      </c>
      <c r="E27" t="s">
        <v>31</v>
      </c>
      <c r="F27" s="3">
        <v>20880</v>
      </c>
      <c r="G27" s="3">
        <v>15000</v>
      </c>
      <c r="H27" s="3">
        <f t="shared" si="0"/>
        <v>2088</v>
      </c>
      <c r="I27" t="s">
        <v>9</v>
      </c>
    </row>
    <row r="28" spans="1:9" x14ac:dyDescent="0.35">
      <c r="A28" s="2">
        <v>44197</v>
      </c>
      <c r="B28" t="s">
        <v>28</v>
      </c>
      <c r="C28" t="s">
        <v>29</v>
      </c>
      <c r="D28" t="s">
        <v>30</v>
      </c>
      <c r="E28" t="s">
        <v>31</v>
      </c>
      <c r="F28" s="3">
        <v>23076.199999999997</v>
      </c>
      <c r="G28" s="3">
        <v>15000</v>
      </c>
      <c r="H28" s="3">
        <f t="shared" si="0"/>
        <v>2307.62</v>
      </c>
      <c r="I28" t="s">
        <v>9</v>
      </c>
    </row>
    <row r="29" spans="1:9" x14ac:dyDescent="0.35">
      <c r="A29" s="2">
        <v>44197</v>
      </c>
      <c r="B29" t="s">
        <v>28</v>
      </c>
      <c r="C29" t="s">
        <v>29</v>
      </c>
      <c r="D29" t="s">
        <v>30</v>
      </c>
      <c r="E29" t="s">
        <v>31</v>
      </c>
      <c r="F29" s="3">
        <v>25560</v>
      </c>
      <c r="G29" s="3">
        <v>15000</v>
      </c>
      <c r="H29" s="3">
        <f t="shared" si="0"/>
        <v>2556</v>
      </c>
      <c r="I29" t="s">
        <v>9</v>
      </c>
    </row>
    <row r="30" spans="1:9" x14ac:dyDescent="0.35">
      <c r="A30" s="2">
        <v>44197</v>
      </c>
      <c r="B30" t="s">
        <v>21</v>
      </c>
      <c r="C30" t="s">
        <v>22</v>
      </c>
      <c r="D30" t="s">
        <v>23</v>
      </c>
      <c r="E30" t="s">
        <v>24</v>
      </c>
      <c r="F30" s="3">
        <v>3008.3999999999996</v>
      </c>
      <c r="G30" s="3">
        <v>15000</v>
      </c>
      <c r="H30" s="3" t="str">
        <f t="shared" si="0"/>
        <v>$_</v>
      </c>
      <c r="I30" t="s">
        <v>13</v>
      </c>
    </row>
    <row r="31" spans="1:9" x14ac:dyDescent="0.35">
      <c r="A31" s="2">
        <v>44197</v>
      </c>
      <c r="B31" t="s">
        <v>48</v>
      </c>
      <c r="C31" t="s">
        <v>49</v>
      </c>
      <c r="D31" t="s">
        <v>50</v>
      </c>
      <c r="E31" t="s">
        <v>24</v>
      </c>
      <c r="F31" s="3">
        <v>7221.5999999999995</v>
      </c>
      <c r="G31" s="3">
        <v>15000</v>
      </c>
      <c r="H31" s="3" t="str">
        <f t="shared" si="0"/>
        <v>$_</v>
      </c>
      <c r="I31" t="s">
        <v>41</v>
      </c>
    </row>
    <row r="32" spans="1:9" x14ac:dyDescent="0.35">
      <c r="A32" s="2">
        <v>44197</v>
      </c>
      <c r="B32" t="s">
        <v>21</v>
      </c>
      <c r="C32" t="s">
        <v>22</v>
      </c>
      <c r="D32" t="s">
        <v>23</v>
      </c>
      <c r="E32" t="s">
        <v>24</v>
      </c>
      <c r="F32" s="3">
        <v>10903.199999999999</v>
      </c>
      <c r="G32" s="3">
        <v>15000</v>
      </c>
      <c r="H32" s="3" t="str">
        <f t="shared" si="0"/>
        <v>$_</v>
      </c>
      <c r="I32" t="s">
        <v>13</v>
      </c>
    </row>
    <row r="33" spans="1:9" x14ac:dyDescent="0.35">
      <c r="A33" s="2">
        <v>44197</v>
      </c>
      <c r="B33" t="s">
        <v>32</v>
      </c>
      <c r="C33" t="s">
        <v>33</v>
      </c>
      <c r="D33" t="s">
        <v>34</v>
      </c>
      <c r="E33" t="s">
        <v>24</v>
      </c>
      <c r="F33" s="3">
        <v>14616</v>
      </c>
      <c r="G33" s="3">
        <v>15000</v>
      </c>
      <c r="H33" s="3" t="str">
        <f t="shared" si="0"/>
        <v>$_</v>
      </c>
      <c r="I33" t="s">
        <v>13</v>
      </c>
    </row>
    <row r="34" spans="1:9" x14ac:dyDescent="0.35">
      <c r="A34" s="2">
        <v>44197</v>
      </c>
      <c r="B34" t="s">
        <v>45</v>
      </c>
      <c r="C34" t="s">
        <v>46</v>
      </c>
      <c r="D34" t="s">
        <v>47</v>
      </c>
      <c r="E34" t="s">
        <v>24</v>
      </c>
      <c r="F34" s="3">
        <v>18885.900000000001</v>
      </c>
      <c r="G34" s="3">
        <v>15000</v>
      </c>
      <c r="H34" s="3">
        <f t="shared" si="0"/>
        <v>1888.5900000000001</v>
      </c>
      <c r="I34" t="s">
        <v>41</v>
      </c>
    </row>
    <row r="35" spans="1:9" x14ac:dyDescent="0.35">
      <c r="A35" s="2">
        <v>44197</v>
      </c>
      <c r="B35" t="s">
        <v>45</v>
      </c>
      <c r="C35" t="s">
        <v>46</v>
      </c>
      <c r="D35" t="s">
        <v>47</v>
      </c>
      <c r="E35" t="s">
        <v>24</v>
      </c>
      <c r="F35" s="3">
        <v>24236</v>
      </c>
      <c r="G35" s="3">
        <v>15000</v>
      </c>
      <c r="H35" s="3">
        <f t="shared" si="0"/>
        <v>2423.6</v>
      </c>
      <c r="I35" t="s">
        <v>9</v>
      </c>
    </row>
    <row r="36" spans="1:9" x14ac:dyDescent="0.35">
      <c r="A36" s="2">
        <v>44228</v>
      </c>
      <c r="B36" t="s">
        <v>25</v>
      </c>
      <c r="C36" t="s">
        <v>26</v>
      </c>
      <c r="D36" t="s">
        <v>27</v>
      </c>
      <c r="E36" t="s">
        <v>8</v>
      </c>
      <c r="F36" s="3">
        <v>7717.5</v>
      </c>
      <c r="G36" s="3">
        <v>15000</v>
      </c>
      <c r="H36" s="3" t="str">
        <f t="shared" si="0"/>
        <v>$_</v>
      </c>
      <c r="I36" t="s">
        <v>41</v>
      </c>
    </row>
    <row r="37" spans="1:9" x14ac:dyDescent="0.35">
      <c r="A37" s="2">
        <v>44228</v>
      </c>
      <c r="B37" t="s">
        <v>25</v>
      </c>
      <c r="C37" t="s">
        <v>26</v>
      </c>
      <c r="D37" t="s">
        <v>27</v>
      </c>
      <c r="E37" t="s">
        <v>8</v>
      </c>
      <c r="F37" s="3">
        <v>11617.6</v>
      </c>
      <c r="G37" s="3">
        <v>15000</v>
      </c>
      <c r="H37" s="3" t="str">
        <f t="shared" si="0"/>
        <v>$_</v>
      </c>
      <c r="I37" t="s">
        <v>13</v>
      </c>
    </row>
    <row r="38" spans="1:9" x14ac:dyDescent="0.35">
      <c r="A38" s="2">
        <v>44228</v>
      </c>
      <c r="B38" t="s">
        <v>10</v>
      </c>
      <c r="C38" t="s">
        <v>11</v>
      </c>
      <c r="D38" t="s">
        <v>12</v>
      </c>
      <c r="E38" t="s">
        <v>8</v>
      </c>
      <c r="F38" s="3">
        <v>19431</v>
      </c>
      <c r="G38" s="3">
        <v>15000</v>
      </c>
      <c r="H38" s="3">
        <f t="shared" si="0"/>
        <v>1943.1000000000001</v>
      </c>
      <c r="I38" t="s">
        <v>13</v>
      </c>
    </row>
    <row r="39" spans="1:9" x14ac:dyDescent="0.35">
      <c r="A39" s="2">
        <v>44228</v>
      </c>
      <c r="B39" t="s">
        <v>5</v>
      </c>
      <c r="C39" t="s">
        <v>6</v>
      </c>
      <c r="D39" t="s">
        <v>7</v>
      </c>
      <c r="E39" t="s">
        <v>8</v>
      </c>
      <c r="F39" s="3">
        <v>21169.599999999999</v>
      </c>
      <c r="G39" s="3">
        <v>15000</v>
      </c>
      <c r="H39" s="3">
        <f t="shared" si="0"/>
        <v>2116.96</v>
      </c>
      <c r="I39" t="s">
        <v>13</v>
      </c>
    </row>
    <row r="40" spans="1:9" x14ac:dyDescent="0.35">
      <c r="A40" s="2">
        <v>44228</v>
      </c>
      <c r="B40" t="s">
        <v>14</v>
      </c>
      <c r="C40" t="s">
        <v>15</v>
      </c>
      <c r="D40" t="s">
        <v>16</v>
      </c>
      <c r="E40" t="s">
        <v>8</v>
      </c>
      <c r="F40" s="3">
        <v>29158.400000000001</v>
      </c>
      <c r="G40" s="3">
        <v>15000</v>
      </c>
      <c r="H40" s="3">
        <f t="shared" si="0"/>
        <v>2915.84</v>
      </c>
      <c r="I40" t="s">
        <v>13</v>
      </c>
    </row>
    <row r="41" spans="1:9" x14ac:dyDescent="0.35">
      <c r="A41" s="2">
        <v>44228</v>
      </c>
      <c r="B41" t="s">
        <v>10</v>
      </c>
      <c r="C41" t="s">
        <v>11</v>
      </c>
      <c r="D41" t="s">
        <v>12</v>
      </c>
      <c r="E41" t="s">
        <v>8</v>
      </c>
      <c r="F41" s="3">
        <v>30305</v>
      </c>
      <c r="G41" s="3">
        <v>15000</v>
      </c>
      <c r="H41" s="3">
        <f t="shared" si="0"/>
        <v>3030.5</v>
      </c>
      <c r="I41" t="s">
        <v>9</v>
      </c>
    </row>
    <row r="42" spans="1:9" x14ac:dyDescent="0.35">
      <c r="A42" s="2">
        <v>44228</v>
      </c>
      <c r="B42" t="s">
        <v>25</v>
      </c>
      <c r="C42" t="s">
        <v>26</v>
      </c>
      <c r="D42" t="s">
        <v>27</v>
      </c>
      <c r="E42" t="s">
        <v>8</v>
      </c>
      <c r="F42" s="3">
        <v>43184.399999999994</v>
      </c>
      <c r="G42" s="3">
        <v>15000</v>
      </c>
      <c r="H42" s="3">
        <f t="shared" si="0"/>
        <v>4318.4399999999996</v>
      </c>
      <c r="I42" t="s">
        <v>41</v>
      </c>
    </row>
    <row r="43" spans="1:9" x14ac:dyDescent="0.35">
      <c r="A43" s="2">
        <v>44228</v>
      </c>
      <c r="B43" t="s">
        <v>17</v>
      </c>
      <c r="C43" t="s">
        <v>18</v>
      </c>
      <c r="D43" t="s">
        <v>19</v>
      </c>
      <c r="E43" t="s">
        <v>20</v>
      </c>
      <c r="F43" s="3">
        <v>4531</v>
      </c>
      <c r="G43" s="3">
        <v>15000</v>
      </c>
      <c r="H43" s="3" t="str">
        <f t="shared" si="0"/>
        <v>$_</v>
      </c>
      <c r="I43" t="s">
        <v>41</v>
      </c>
    </row>
    <row r="44" spans="1:9" x14ac:dyDescent="0.35">
      <c r="A44" s="2">
        <v>44228</v>
      </c>
      <c r="B44" t="s">
        <v>35</v>
      </c>
      <c r="C44" t="s">
        <v>36</v>
      </c>
      <c r="D44" t="s">
        <v>37</v>
      </c>
      <c r="E44" t="s">
        <v>20</v>
      </c>
      <c r="F44" s="3">
        <v>6751.7999999999993</v>
      </c>
      <c r="G44" s="3">
        <v>15000</v>
      </c>
      <c r="H44" s="3" t="str">
        <f t="shared" si="0"/>
        <v>$_</v>
      </c>
      <c r="I44" t="s">
        <v>13</v>
      </c>
    </row>
    <row r="45" spans="1:9" x14ac:dyDescent="0.35">
      <c r="A45" s="2">
        <v>44228</v>
      </c>
      <c r="B45" t="s">
        <v>17</v>
      </c>
      <c r="C45" t="s">
        <v>18</v>
      </c>
      <c r="D45" t="s">
        <v>19</v>
      </c>
      <c r="E45" t="s">
        <v>20</v>
      </c>
      <c r="F45" s="3">
        <v>7343.2000000000007</v>
      </c>
      <c r="G45" s="3">
        <v>15000</v>
      </c>
      <c r="H45" s="3" t="str">
        <f t="shared" si="0"/>
        <v>$_</v>
      </c>
      <c r="I45" t="s">
        <v>13</v>
      </c>
    </row>
    <row r="46" spans="1:9" x14ac:dyDescent="0.35">
      <c r="A46" s="2">
        <v>44228</v>
      </c>
      <c r="B46" t="s">
        <v>17</v>
      </c>
      <c r="C46" t="s">
        <v>18</v>
      </c>
      <c r="D46" t="s">
        <v>19</v>
      </c>
      <c r="E46" t="s">
        <v>20</v>
      </c>
      <c r="F46" s="3">
        <v>7356.5999999999995</v>
      </c>
      <c r="G46" s="3">
        <v>15000</v>
      </c>
      <c r="H46" s="3" t="str">
        <f t="shared" si="0"/>
        <v>$_</v>
      </c>
      <c r="I46" t="s">
        <v>9</v>
      </c>
    </row>
    <row r="47" spans="1:9" x14ac:dyDescent="0.35">
      <c r="A47" s="2">
        <v>44228</v>
      </c>
      <c r="B47" t="s">
        <v>35</v>
      </c>
      <c r="C47" t="s">
        <v>36</v>
      </c>
      <c r="D47" t="s">
        <v>37</v>
      </c>
      <c r="E47" t="s">
        <v>20</v>
      </c>
      <c r="F47" s="3">
        <v>17748</v>
      </c>
      <c r="G47" s="3">
        <v>15000</v>
      </c>
      <c r="H47" s="3">
        <f t="shared" si="0"/>
        <v>1774.8000000000002</v>
      </c>
      <c r="I47" t="s">
        <v>9</v>
      </c>
    </row>
    <row r="48" spans="1:9" x14ac:dyDescent="0.35">
      <c r="A48" s="2">
        <v>44228</v>
      </c>
      <c r="B48" t="s">
        <v>17</v>
      </c>
      <c r="C48" t="s">
        <v>18</v>
      </c>
      <c r="D48" t="s">
        <v>19</v>
      </c>
      <c r="E48" t="s">
        <v>20</v>
      </c>
      <c r="F48" s="3">
        <v>28395.5</v>
      </c>
      <c r="G48" s="3">
        <v>15000</v>
      </c>
      <c r="H48" s="3">
        <f t="shared" si="0"/>
        <v>2839.55</v>
      </c>
      <c r="I48" t="s">
        <v>41</v>
      </c>
    </row>
    <row r="49" spans="1:9" x14ac:dyDescent="0.35">
      <c r="A49" s="2">
        <v>44228</v>
      </c>
      <c r="B49" t="s">
        <v>42</v>
      </c>
      <c r="C49" t="s">
        <v>43</v>
      </c>
      <c r="D49" t="s">
        <v>44</v>
      </c>
      <c r="E49" t="s">
        <v>20</v>
      </c>
      <c r="F49" s="3">
        <v>41429.5</v>
      </c>
      <c r="G49" s="3">
        <v>15000</v>
      </c>
      <c r="H49" s="3">
        <f t="shared" si="0"/>
        <v>4142.95</v>
      </c>
      <c r="I49" t="s">
        <v>13</v>
      </c>
    </row>
    <row r="50" spans="1:9" x14ac:dyDescent="0.35">
      <c r="A50" s="2">
        <v>44228</v>
      </c>
      <c r="B50" t="s">
        <v>57</v>
      </c>
      <c r="C50" t="s">
        <v>58</v>
      </c>
      <c r="D50" t="s">
        <v>59</v>
      </c>
      <c r="E50" t="s">
        <v>31</v>
      </c>
      <c r="F50" s="3">
        <v>13479.400000000001</v>
      </c>
      <c r="G50" s="3">
        <v>15000</v>
      </c>
      <c r="H50" s="3" t="str">
        <f t="shared" si="0"/>
        <v>$_</v>
      </c>
      <c r="I50" t="s">
        <v>41</v>
      </c>
    </row>
    <row r="51" spans="1:9" x14ac:dyDescent="0.35">
      <c r="A51" s="2">
        <v>44228</v>
      </c>
      <c r="B51" t="s">
        <v>28</v>
      </c>
      <c r="C51" t="s">
        <v>29</v>
      </c>
      <c r="D51" t="s">
        <v>30</v>
      </c>
      <c r="E51" t="s">
        <v>31</v>
      </c>
      <c r="F51" s="3">
        <v>16604.400000000001</v>
      </c>
      <c r="G51" s="3">
        <v>15000</v>
      </c>
      <c r="H51" s="3">
        <f t="shared" si="0"/>
        <v>1660.4400000000003</v>
      </c>
      <c r="I51" t="s">
        <v>13</v>
      </c>
    </row>
    <row r="52" spans="1:9" x14ac:dyDescent="0.35">
      <c r="A52" s="2">
        <v>44228</v>
      </c>
      <c r="B52" t="s">
        <v>69</v>
      </c>
      <c r="C52" t="s">
        <v>70</v>
      </c>
      <c r="D52" t="s">
        <v>71</v>
      </c>
      <c r="E52" t="s">
        <v>31</v>
      </c>
      <c r="F52" s="3">
        <v>22176</v>
      </c>
      <c r="G52" s="3">
        <v>15000</v>
      </c>
      <c r="H52" s="3">
        <f t="shared" si="0"/>
        <v>2217.6</v>
      </c>
      <c r="I52" t="s">
        <v>13</v>
      </c>
    </row>
    <row r="53" spans="1:9" x14ac:dyDescent="0.35">
      <c r="A53" s="2">
        <v>44228</v>
      </c>
      <c r="B53" t="s">
        <v>57</v>
      </c>
      <c r="C53" t="s">
        <v>58</v>
      </c>
      <c r="D53" t="s">
        <v>59</v>
      </c>
      <c r="E53" t="s">
        <v>31</v>
      </c>
      <c r="F53" s="3">
        <v>24131.000000000004</v>
      </c>
      <c r="G53" s="3">
        <v>15000</v>
      </c>
      <c r="H53" s="3">
        <f t="shared" si="0"/>
        <v>2413.1000000000004</v>
      </c>
      <c r="I53" t="s">
        <v>13</v>
      </c>
    </row>
    <row r="54" spans="1:9" x14ac:dyDescent="0.35">
      <c r="A54" s="2">
        <v>44228</v>
      </c>
      <c r="B54" t="s">
        <v>28</v>
      </c>
      <c r="C54" t="s">
        <v>29</v>
      </c>
      <c r="D54" t="s">
        <v>30</v>
      </c>
      <c r="E54" t="s">
        <v>31</v>
      </c>
      <c r="F54" s="3">
        <v>34353.5</v>
      </c>
      <c r="G54" s="3">
        <v>15000</v>
      </c>
      <c r="H54" s="3">
        <f t="shared" si="0"/>
        <v>3435.3500000000004</v>
      </c>
      <c r="I54" t="s">
        <v>13</v>
      </c>
    </row>
    <row r="55" spans="1:9" x14ac:dyDescent="0.35">
      <c r="A55" s="2">
        <v>44228</v>
      </c>
      <c r="B55" t="s">
        <v>32</v>
      </c>
      <c r="C55" t="s">
        <v>33</v>
      </c>
      <c r="D55" t="s">
        <v>34</v>
      </c>
      <c r="E55" t="s">
        <v>24</v>
      </c>
      <c r="F55" s="3">
        <v>3596</v>
      </c>
      <c r="G55" s="3">
        <v>15000</v>
      </c>
      <c r="H55" s="3" t="str">
        <f t="shared" si="0"/>
        <v>$_</v>
      </c>
      <c r="I55" t="s">
        <v>13</v>
      </c>
    </row>
    <row r="56" spans="1:9" x14ac:dyDescent="0.35">
      <c r="A56" s="2">
        <v>44228</v>
      </c>
      <c r="B56" t="s">
        <v>54</v>
      </c>
      <c r="C56" t="s">
        <v>55</v>
      </c>
      <c r="D56" t="s">
        <v>56</v>
      </c>
      <c r="E56" t="s">
        <v>24</v>
      </c>
      <c r="F56" s="3">
        <v>6300</v>
      </c>
      <c r="G56" s="3">
        <v>15000</v>
      </c>
      <c r="H56" s="3" t="str">
        <f t="shared" si="0"/>
        <v>$_</v>
      </c>
      <c r="I56" t="s">
        <v>41</v>
      </c>
    </row>
    <row r="57" spans="1:9" x14ac:dyDescent="0.35">
      <c r="A57" s="2">
        <v>44228</v>
      </c>
      <c r="B57" t="s">
        <v>32</v>
      </c>
      <c r="C57" t="s">
        <v>33</v>
      </c>
      <c r="D57" t="s">
        <v>34</v>
      </c>
      <c r="E57" t="s">
        <v>24</v>
      </c>
      <c r="F57" s="3">
        <v>6804</v>
      </c>
      <c r="G57" s="3">
        <v>15000</v>
      </c>
      <c r="H57" s="3" t="str">
        <f t="shared" si="0"/>
        <v>$_</v>
      </c>
      <c r="I57" t="s">
        <v>9</v>
      </c>
    </row>
    <row r="58" spans="1:9" x14ac:dyDescent="0.35">
      <c r="A58" s="2">
        <v>44228</v>
      </c>
      <c r="B58" t="s">
        <v>48</v>
      </c>
      <c r="C58" t="s">
        <v>49</v>
      </c>
      <c r="D58" t="s">
        <v>50</v>
      </c>
      <c r="E58" t="s">
        <v>24</v>
      </c>
      <c r="F58" s="3">
        <v>8524.4000000000015</v>
      </c>
      <c r="G58" s="3">
        <v>15000</v>
      </c>
      <c r="H58" s="3" t="str">
        <f t="shared" si="0"/>
        <v>$_</v>
      </c>
      <c r="I58" t="s">
        <v>41</v>
      </c>
    </row>
    <row r="59" spans="1:9" x14ac:dyDescent="0.35">
      <c r="A59" s="2">
        <v>44228</v>
      </c>
      <c r="B59" t="s">
        <v>32</v>
      </c>
      <c r="C59" t="s">
        <v>33</v>
      </c>
      <c r="D59" t="s">
        <v>34</v>
      </c>
      <c r="E59" t="s">
        <v>24</v>
      </c>
      <c r="F59" s="3">
        <v>8772</v>
      </c>
      <c r="G59" s="3">
        <v>15000</v>
      </c>
      <c r="H59" s="3" t="str">
        <f t="shared" si="0"/>
        <v>$_</v>
      </c>
      <c r="I59" t="s">
        <v>41</v>
      </c>
    </row>
    <row r="60" spans="1:9" x14ac:dyDescent="0.35">
      <c r="A60" s="2">
        <v>44228</v>
      </c>
      <c r="B60" t="s">
        <v>32</v>
      </c>
      <c r="C60" t="s">
        <v>33</v>
      </c>
      <c r="D60" t="s">
        <v>34</v>
      </c>
      <c r="E60" t="s">
        <v>24</v>
      </c>
      <c r="F60" s="3">
        <v>17328.300000000003</v>
      </c>
      <c r="G60" s="3">
        <v>15000</v>
      </c>
      <c r="H60" s="3">
        <f t="shared" si="0"/>
        <v>1732.8300000000004</v>
      </c>
      <c r="I60" t="s">
        <v>41</v>
      </c>
    </row>
    <row r="61" spans="1:9" x14ac:dyDescent="0.35">
      <c r="A61" s="2">
        <v>44228</v>
      </c>
      <c r="B61" t="s">
        <v>54</v>
      </c>
      <c r="C61" t="s">
        <v>55</v>
      </c>
      <c r="D61" t="s">
        <v>56</v>
      </c>
      <c r="E61" t="s">
        <v>24</v>
      </c>
      <c r="F61" s="3">
        <v>21438.899999999998</v>
      </c>
      <c r="G61" s="3">
        <v>15000</v>
      </c>
      <c r="H61" s="3">
        <f t="shared" si="0"/>
        <v>2143.89</v>
      </c>
      <c r="I61" t="s">
        <v>9</v>
      </c>
    </row>
    <row r="62" spans="1:9" x14ac:dyDescent="0.35">
      <c r="A62" s="2">
        <v>44228</v>
      </c>
      <c r="B62" t="s">
        <v>48</v>
      </c>
      <c r="C62" t="s">
        <v>49</v>
      </c>
      <c r="D62" t="s">
        <v>50</v>
      </c>
      <c r="E62" t="s">
        <v>24</v>
      </c>
      <c r="F62" s="3">
        <v>26556.799999999999</v>
      </c>
      <c r="G62" s="3">
        <v>15000</v>
      </c>
      <c r="H62" s="3">
        <f t="shared" si="0"/>
        <v>2655.6800000000003</v>
      </c>
      <c r="I62" t="s">
        <v>13</v>
      </c>
    </row>
    <row r="63" spans="1:9" x14ac:dyDescent="0.35">
      <c r="A63" s="2">
        <v>44228</v>
      </c>
      <c r="B63" t="s">
        <v>48</v>
      </c>
      <c r="C63" t="s">
        <v>49</v>
      </c>
      <c r="D63" t="s">
        <v>50</v>
      </c>
      <c r="E63" t="s">
        <v>24</v>
      </c>
      <c r="F63" s="3">
        <v>33132.600000000006</v>
      </c>
      <c r="G63" s="3">
        <v>15000</v>
      </c>
      <c r="H63" s="3">
        <f t="shared" si="0"/>
        <v>3313.2600000000007</v>
      </c>
      <c r="I63" t="s">
        <v>41</v>
      </c>
    </row>
    <row r="64" spans="1:9" x14ac:dyDescent="0.35">
      <c r="A64" s="2">
        <v>44256</v>
      </c>
      <c r="B64" t="s">
        <v>10</v>
      </c>
      <c r="C64" t="s">
        <v>11</v>
      </c>
      <c r="D64" t="s">
        <v>12</v>
      </c>
      <c r="E64" t="s">
        <v>8</v>
      </c>
      <c r="F64" s="3">
        <v>2311.5</v>
      </c>
      <c r="G64" s="3">
        <v>15000</v>
      </c>
      <c r="H64" s="3" t="str">
        <f t="shared" si="0"/>
        <v>$_</v>
      </c>
      <c r="I64" t="s">
        <v>13</v>
      </c>
    </row>
    <row r="65" spans="1:9" x14ac:dyDescent="0.35">
      <c r="A65" s="2">
        <v>44256</v>
      </c>
      <c r="B65" t="s">
        <v>25</v>
      </c>
      <c r="C65" t="s">
        <v>26</v>
      </c>
      <c r="D65" t="s">
        <v>27</v>
      </c>
      <c r="E65" t="s">
        <v>8</v>
      </c>
      <c r="F65" s="3">
        <v>3013.5</v>
      </c>
      <c r="G65" s="3">
        <v>15000</v>
      </c>
      <c r="H65" s="3" t="str">
        <f t="shared" si="0"/>
        <v>$_</v>
      </c>
      <c r="I65" t="s">
        <v>13</v>
      </c>
    </row>
    <row r="66" spans="1:9" x14ac:dyDescent="0.35">
      <c r="A66" s="2">
        <v>44256</v>
      </c>
      <c r="B66" t="s">
        <v>25</v>
      </c>
      <c r="C66" t="s">
        <v>26</v>
      </c>
      <c r="D66" t="s">
        <v>27</v>
      </c>
      <c r="E66" t="s">
        <v>8</v>
      </c>
      <c r="F66" s="3">
        <v>5287.5</v>
      </c>
      <c r="G66" s="3">
        <v>15000</v>
      </c>
      <c r="H66" s="3" t="str">
        <f t="shared" ref="H66:H129" si="1">IF(F66&gt;=G66, F66*Commission, "$_")</f>
        <v>$_</v>
      </c>
      <c r="I66" t="s">
        <v>13</v>
      </c>
    </row>
    <row r="67" spans="1:9" x14ac:dyDescent="0.35">
      <c r="A67" s="2">
        <v>44256</v>
      </c>
      <c r="B67" t="s">
        <v>14</v>
      </c>
      <c r="C67" t="s">
        <v>15</v>
      </c>
      <c r="D67" t="s">
        <v>16</v>
      </c>
      <c r="E67" t="s">
        <v>8</v>
      </c>
      <c r="F67" s="3">
        <v>13797</v>
      </c>
      <c r="G67" s="3">
        <v>15000</v>
      </c>
      <c r="H67" s="3" t="str">
        <f t="shared" si="1"/>
        <v>$_</v>
      </c>
      <c r="I67" t="s">
        <v>9</v>
      </c>
    </row>
    <row r="68" spans="1:9" x14ac:dyDescent="0.35">
      <c r="A68" s="2">
        <v>44256</v>
      </c>
      <c r="B68" t="s">
        <v>66</v>
      </c>
      <c r="C68" t="s">
        <v>67</v>
      </c>
      <c r="D68" t="s">
        <v>68</v>
      </c>
      <c r="E68" t="s">
        <v>8</v>
      </c>
      <c r="F68" s="3">
        <v>14063</v>
      </c>
      <c r="G68" s="3">
        <v>15000</v>
      </c>
      <c r="H68" s="3" t="str">
        <f t="shared" si="1"/>
        <v>$_</v>
      </c>
      <c r="I68" t="s">
        <v>13</v>
      </c>
    </row>
    <row r="69" spans="1:9" x14ac:dyDescent="0.35">
      <c r="A69" s="2">
        <v>44256</v>
      </c>
      <c r="B69" t="s">
        <v>14</v>
      </c>
      <c r="C69" t="s">
        <v>15</v>
      </c>
      <c r="D69" t="s">
        <v>16</v>
      </c>
      <c r="E69" t="s">
        <v>8</v>
      </c>
      <c r="F69" s="3">
        <v>14608.300000000001</v>
      </c>
      <c r="G69" s="3">
        <v>15000</v>
      </c>
      <c r="H69" s="3" t="str">
        <f t="shared" si="1"/>
        <v>$_</v>
      </c>
      <c r="I69" t="s">
        <v>9</v>
      </c>
    </row>
    <row r="70" spans="1:9" x14ac:dyDescent="0.35">
      <c r="A70" s="2">
        <v>44256</v>
      </c>
      <c r="B70" t="s">
        <v>25</v>
      </c>
      <c r="C70" t="s">
        <v>26</v>
      </c>
      <c r="D70" t="s">
        <v>27</v>
      </c>
      <c r="E70" t="s">
        <v>8</v>
      </c>
      <c r="F70" s="3">
        <v>16063.199999999999</v>
      </c>
      <c r="G70" s="3">
        <v>15000</v>
      </c>
      <c r="H70" s="3">
        <f t="shared" si="1"/>
        <v>1606.32</v>
      </c>
      <c r="I70" t="s">
        <v>13</v>
      </c>
    </row>
    <row r="71" spans="1:9" x14ac:dyDescent="0.35">
      <c r="A71" s="2">
        <v>44256</v>
      </c>
      <c r="B71" t="s">
        <v>10</v>
      </c>
      <c r="C71" t="s">
        <v>11</v>
      </c>
      <c r="D71" t="s">
        <v>12</v>
      </c>
      <c r="E71" t="s">
        <v>8</v>
      </c>
      <c r="F71" s="3">
        <v>16836</v>
      </c>
      <c r="G71" s="3">
        <v>15000</v>
      </c>
      <c r="H71" s="3">
        <f t="shared" si="1"/>
        <v>1683.6000000000001</v>
      </c>
      <c r="I71" t="s">
        <v>9</v>
      </c>
    </row>
    <row r="72" spans="1:9" x14ac:dyDescent="0.35">
      <c r="A72" s="2">
        <v>44256</v>
      </c>
      <c r="B72" t="s">
        <v>25</v>
      </c>
      <c r="C72" t="s">
        <v>26</v>
      </c>
      <c r="D72" t="s">
        <v>27</v>
      </c>
      <c r="E72" t="s">
        <v>8</v>
      </c>
      <c r="F72" s="3">
        <v>19594</v>
      </c>
      <c r="G72" s="3">
        <v>15000</v>
      </c>
      <c r="H72" s="3">
        <f t="shared" si="1"/>
        <v>1959.4</v>
      </c>
      <c r="I72" t="s">
        <v>41</v>
      </c>
    </row>
    <row r="73" spans="1:9" x14ac:dyDescent="0.35">
      <c r="A73" s="2">
        <v>44256</v>
      </c>
      <c r="B73" t="s">
        <v>10</v>
      </c>
      <c r="C73" t="s">
        <v>11</v>
      </c>
      <c r="D73" t="s">
        <v>12</v>
      </c>
      <c r="E73" t="s">
        <v>8</v>
      </c>
      <c r="F73" s="3">
        <v>21654.400000000001</v>
      </c>
      <c r="G73" s="3">
        <v>15000</v>
      </c>
      <c r="H73" s="3">
        <f t="shared" si="1"/>
        <v>2165.44</v>
      </c>
      <c r="I73" t="s">
        <v>13</v>
      </c>
    </row>
    <row r="74" spans="1:9" x14ac:dyDescent="0.35">
      <c r="A74" s="2">
        <v>44256</v>
      </c>
      <c r="B74" t="s">
        <v>66</v>
      </c>
      <c r="C74" t="s">
        <v>67</v>
      </c>
      <c r="D74" t="s">
        <v>68</v>
      </c>
      <c r="E74" t="s">
        <v>8</v>
      </c>
      <c r="F74" s="3">
        <v>27930</v>
      </c>
      <c r="G74" s="3">
        <v>15000</v>
      </c>
      <c r="H74" s="3">
        <f t="shared" si="1"/>
        <v>2793</v>
      </c>
      <c r="I74" t="s">
        <v>9</v>
      </c>
    </row>
    <row r="75" spans="1:9" x14ac:dyDescent="0.35">
      <c r="A75" s="2">
        <v>44256</v>
      </c>
      <c r="B75" t="s">
        <v>5</v>
      </c>
      <c r="C75" t="s">
        <v>6</v>
      </c>
      <c r="D75" t="s">
        <v>7</v>
      </c>
      <c r="E75" t="s">
        <v>8</v>
      </c>
      <c r="F75" s="3">
        <v>39065.899999999994</v>
      </c>
      <c r="G75" s="3">
        <v>15000</v>
      </c>
      <c r="H75" s="3">
        <f t="shared" si="1"/>
        <v>3906.5899999999997</v>
      </c>
      <c r="I75" t="s">
        <v>13</v>
      </c>
    </row>
    <row r="76" spans="1:9" x14ac:dyDescent="0.35">
      <c r="A76" s="2">
        <v>44256</v>
      </c>
      <c r="B76" t="s">
        <v>25</v>
      </c>
      <c r="C76" t="s">
        <v>26</v>
      </c>
      <c r="D76" t="s">
        <v>27</v>
      </c>
      <c r="E76" t="s">
        <v>8</v>
      </c>
      <c r="F76" s="3">
        <v>44422</v>
      </c>
      <c r="G76" s="3">
        <v>15000</v>
      </c>
      <c r="H76" s="3">
        <f t="shared" si="1"/>
        <v>4442.2</v>
      </c>
      <c r="I76" t="s">
        <v>41</v>
      </c>
    </row>
    <row r="77" spans="1:9" x14ac:dyDescent="0.35">
      <c r="A77" s="2">
        <v>44256</v>
      </c>
      <c r="B77" t="s">
        <v>63</v>
      </c>
      <c r="C77" t="s">
        <v>64</v>
      </c>
      <c r="D77" t="s">
        <v>65</v>
      </c>
      <c r="E77" t="s">
        <v>20</v>
      </c>
      <c r="F77" s="3">
        <v>6708.9</v>
      </c>
      <c r="G77" s="3">
        <v>15000</v>
      </c>
      <c r="H77" s="3" t="str">
        <f t="shared" si="1"/>
        <v>$_</v>
      </c>
      <c r="I77" t="s">
        <v>41</v>
      </c>
    </row>
    <row r="78" spans="1:9" x14ac:dyDescent="0.35">
      <c r="A78" s="2">
        <v>44256</v>
      </c>
      <c r="B78" t="s">
        <v>51</v>
      </c>
      <c r="C78" t="s">
        <v>52</v>
      </c>
      <c r="D78" t="s">
        <v>53</v>
      </c>
      <c r="E78" t="s">
        <v>20</v>
      </c>
      <c r="F78" s="3">
        <v>7982.7</v>
      </c>
      <c r="G78" s="3">
        <v>15000</v>
      </c>
      <c r="H78" s="3" t="str">
        <f t="shared" si="1"/>
        <v>$_</v>
      </c>
      <c r="I78" t="s">
        <v>41</v>
      </c>
    </row>
    <row r="79" spans="1:9" x14ac:dyDescent="0.35">
      <c r="A79" s="2">
        <v>44256</v>
      </c>
      <c r="B79" t="s">
        <v>42</v>
      </c>
      <c r="C79" t="s">
        <v>43</v>
      </c>
      <c r="D79" t="s">
        <v>44</v>
      </c>
      <c r="E79" t="s">
        <v>20</v>
      </c>
      <c r="F79" s="3">
        <v>8694</v>
      </c>
      <c r="G79" s="3">
        <v>15000</v>
      </c>
      <c r="H79" s="3" t="str">
        <f t="shared" si="1"/>
        <v>$_</v>
      </c>
      <c r="I79" t="s">
        <v>9</v>
      </c>
    </row>
    <row r="80" spans="1:9" x14ac:dyDescent="0.35">
      <c r="A80" s="2">
        <v>44256</v>
      </c>
      <c r="B80" t="s">
        <v>42</v>
      </c>
      <c r="C80" t="s">
        <v>43</v>
      </c>
      <c r="D80" t="s">
        <v>44</v>
      </c>
      <c r="E80" t="s">
        <v>20</v>
      </c>
      <c r="F80" s="3">
        <v>9116</v>
      </c>
      <c r="G80" s="3">
        <v>15000</v>
      </c>
      <c r="H80" s="3" t="str">
        <f t="shared" si="1"/>
        <v>$_</v>
      </c>
      <c r="I80" t="s">
        <v>9</v>
      </c>
    </row>
    <row r="81" spans="1:9" x14ac:dyDescent="0.35">
      <c r="A81" s="2">
        <v>44256</v>
      </c>
      <c r="B81" t="s">
        <v>51</v>
      </c>
      <c r="C81" t="s">
        <v>52</v>
      </c>
      <c r="D81" t="s">
        <v>53</v>
      </c>
      <c r="E81" t="s">
        <v>20</v>
      </c>
      <c r="F81" s="3">
        <v>10110.299999999999</v>
      </c>
      <c r="G81" s="3">
        <v>15000</v>
      </c>
      <c r="H81" s="3" t="str">
        <f t="shared" si="1"/>
        <v>$_</v>
      </c>
      <c r="I81" t="s">
        <v>9</v>
      </c>
    </row>
    <row r="82" spans="1:9" x14ac:dyDescent="0.35">
      <c r="A82" s="2">
        <v>44256</v>
      </c>
      <c r="B82" t="s">
        <v>17</v>
      </c>
      <c r="C82" t="s">
        <v>18</v>
      </c>
      <c r="D82" t="s">
        <v>19</v>
      </c>
      <c r="E82" t="s">
        <v>20</v>
      </c>
      <c r="F82" s="3">
        <v>10451.199999999999</v>
      </c>
      <c r="G82" s="3">
        <v>15000</v>
      </c>
      <c r="H82" s="3" t="str">
        <f t="shared" si="1"/>
        <v>$_</v>
      </c>
      <c r="I82" t="s">
        <v>9</v>
      </c>
    </row>
    <row r="83" spans="1:9" x14ac:dyDescent="0.35">
      <c r="A83" s="2">
        <v>44256</v>
      </c>
      <c r="B83" t="s">
        <v>17</v>
      </c>
      <c r="C83" t="s">
        <v>18</v>
      </c>
      <c r="D83" t="s">
        <v>19</v>
      </c>
      <c r="E83" t="s">
        <v>20</v>
      </c>
      <c r="F83" s="3">
        <v>11580.4</v>
      </c>
      <c r="G83" s="3">
        <v>15000</v>
      </c>
      <c r="H83" s="3" t="str">
        <f t="shared" si="1"/>
        <v>$_</v>
      </c>
      <c r="I83" t="s">
        <v>13</v>
      </c>
    </row>
    <row r="84" spans="1:9" x14ac:dyDescent="0.35">
      <c r="A84" s="2">
        <v>44256</v>
      </c>
      <c r="B84" t="s">
        <v>42</v>
      </c>
      <c r="C84" t="s">
        <v>43</v>
      </c>
      <c r="D84" t="s">
        <v>44</v>
      </c>
      <c r="E84" t="s">
        <v>20</v>
      </c>
      <c r="F84" s="3">
        <v>14329.5</v>
      </c>
      <c r="G84" s="3">
        <v>15000</v>
      </c>
      <c r="H84" s="3" t="str">
        <f t="shared" si="1"/>
        <v>$_</v>
      </c>
      <c r="I84" t="s">
        <v>9</v>
      </c>
    </row>
    <row r="85" spans="1:9" x14ac:dyDescent="0.35">
      <c r="A85" s="2">
        <v>44256</v>
      </c>
      <c r="B85" t="s">
        <v>42</v>
      </c>
      <c r="C85" t="s">
        <v>43</v>
      </c>
      <c r="D85" t="s">
        <v>44</v>
      </c>
      <c r="E85" t="s">
        <v>20</v>
      </c>
      <c r="F85" s="3">
        <v>20128</v>
      </c>
      <c r="G85" s="3">
        <v>15000</v>
      </c>
      <c r="H85" s="3">
        <f t="shared" si="1"/>
        <v>2012.8000000000002</v>
      </c>
      <c r="I85" t="s">
        <v>41</v>
      </c>
    </row>
    <row r="86" spans="1:9" x14ac:dyDescent="0.35">
      <c r="A86" s="2">
        <v>44256</v>
      </c>
      <c r="B86" t="s">
        <v>63</v>
      </c>
      <c r="C86" t="s">
        <v>64</v>
      </c>
      <c r="D86" t="s">
        <v>65</v>
      </c>
      <c r="E86" t="s">
        <v>20</v>
      </c>
      <c r="F86" s="3">
        <v>21167.999999999996</v>
      </c>
      <c r="G86" s="3">
        <v>15000</v>
      </c>
      <c r="H86" s="3">
        <f t="shared" si="1"/>
        <v>2116.7999999999997</v>
      </c>
      <c r="I86" t="s">
        <v>9</v>
      </c>
    </row>
    <row r="87" spans="1:9" x14ac:dyDescent="0.35">
      <c r="A87" s="2">
        <v>44256</v>
      </c>
      <c r="B87" t="s">
        <v>35</v>
      </c>
      <c r="C87" t="s">
        <v>36</v>
      </c>
      <c r="D87" t="s">
        <v>37</v>
      </c>
      <c r="E87" t="s">
        <v>20</v>
      </c>
      <c r="F87" s="3">
        <v>25102.399999999998</v>
      </c>
      <c r="G87" s="3">
        <v>15000</v>
      </c>
      <c r="H87" s="3">
        <f t="shared" si="1"/>
        <v>2510.2399999999998</v>
      </c>
      <c r="I87" t="s">
        <v>13</v>
      </c>
    </row>
    <row r="88" spans="1:9" x14ac:dyDescent="0.35">
      <c r="A88" s="2">
        <v>44256</v>
      </c>
      <c r="B88" t="s">
        <v>35</v>
      </c>
      <c r="C88" t="s">
        <v>36</v>
      </c>
      <c r="D88" t="s">
        <v>37</v>
      </c>
      <c r="E88" t="s">
        <v>20</v>
      </c>
      <c r="F88" s="3">
        <v>27670.9</v>
      </c>
      <c r="G88" s="3">
        <v>15000</v>
      </c>
      <c r="H88" s="3">
        <f t="shared" si="1"/>
        <v>2767.09</v>
      </c>
      <c r="I88" t="s">
        <v>41</v>
      </c>
    </row>
    <row r="89" spans="1:9" x14ac:dyDescent="0.35">
      <c r="A89" s="2">
        <v>44256</v>
      </c>
      <c r="B89" t="s">
        <v>35</v>
      </c>
      <c r="C89" t="s">
        <v>36</v>
      </c>
      <c r="D89" t="s">
        <v>37</v>
      </c>
      <c r="E89" t="s">
        <v>20</v>
      </c>
      <c r="F89" s="3">
        <v>27956.799999999999</v>
      </c>
      <c r="G89" s="3">
        <v>15000</v>
      </c>
      <c r="H89" s="3">
        <f t="shared" si="1"/>
        <v>2795.6800000000003</v>
      </c>
      <c r="I89" t="s">
        <v>13</v>
      </c>
    </row>
    <row r="90" spans="1:9" x14ac:dyDescent="0.35">
      <c r="A90" s="2">
        <v>44256</v>
      </c>
      <c r="B90" t="s">
        <v>42</v>
      </c>
      <c r="C90" t="s">
        <v>43</v>
      </c>
      <c r="D90" t="s">
        <v>44</v>
      </c>
      <c r="E90" t="s">
        <v>20</v>
      </c>
      <c r="F90" s="3">
        <v>31407</v>
      </c>
      <c r="G90" s="3">
        <v>15000</v>
      </c>
      <c r="H90" s="3">
        <f t="shared" si="1"/>
        <v>3140.7000000000003</v>
      </c>
      <c r="I90" t="s">
        <v>13</v>
      </c>
    </row>
    <row r="91" spans="1:9" x14ac:dyDescent="0.35">
      <c r="A91" s="2">
        <v>44256</v>
      </c>
      <c r="B91" t="s">
        <v>51</v>
      </c>
      <c r="C91" t="s">
        <v>52</v>
      </c>
      <c r="D91" t="s">
        <v>53</v>
      </c>
      <c r="E91" t="s">
        <v>20</v>
      </c>
      <c r="F91" s="3">
        <v>35647.5</v>
      </c>
      <c r="G91" s="3">
        <v>15000</v>
      </c>
      <c r="H91" s="3">
        <f t="shared" si="1"/>
        <v>3564.75</v>
      </c>
      <c r="I91" t="s">
        <v>41</v>
      </c>
    </row>
    <row r="92" spans="1:9" x14ac:dyDescent="0.35">
      <c r="A92" s="2">
        <v>44256</v>
      </c>
      <c r="B92" t="s">
        <v>51</v>
      </c>
      <c r="C92" t="s">
        <v>52</v>
      </c>
      <c r="D92" t="s">
        <v>53</v>
      </c>
      <c r="E92" t="s">
        <v>20</v>
      </c>
      <c r="F92" s="3">
        <v>36907.200000000004</v>
      </c>
      <c r="G92" s="3">
        <v>15000</v>
      </c>
      <c r="H92" s="3">
        <f t="shared" si="1"/>
        <v>3690.7200000000007</v>
      </c>
      <c r="I92" t="s">
        <v>13</v>
      </c>
    </row>
    <row r="93" spans="1:9" x14ac:dyDescent="0.35">
      <c r="A93" s="2">
        <v>44256</v>
      </c>
      <c r="B93" t="s">
        <v>60</v>
      </c>
      <c r="C93" t="s">
        <v>61</v>
      </c>
      <c r="D93" t="s">
        <v>62</v>
      </c>
      <c r="E93" t="s">
        <v>31</v>
      </c>
      <c r="F93" s="3">
        <v>7416.9</v>
      </c>
      <c r="G93" s="3">
        <v>15000</v>
      </c>
      <c r="H93" s="3" t="str">
        <f t="shared" si="1"/>
        <v>$_</v>
      </c>
      <c r="I93" t="s">
        <v>41</v>
      </c>
    </row>
    <row r="94" spans="1:9" x14ac:dyDescent="0.35">
      <c r="A94" s="2">
        <v>44256</v>
      </c>
      <c r="B94" t="s">
        <v>38</v>
      </c>
      <c r="C94" t="s">
        <v>39</v>
      </c>
      <c r="D94" t="s">
        <v>40</v>
      </c>
      <c r="E94" t="s">
        <v>31</v>
      </c>
      <c r="F94" s="3">
        <v>8284.5</v>
      </c>
      <c r="G94" s="3">
        <v>15000</v>
      </c>
      <c r="H94" s="3" t="str">
        <f t="shared" si="1"/>
        <v>$_</v>
      </c>
      <c r="I94" t="s">
        <v>13</v>
      </c>
    </row>
    <row r="95" spans="1:9" x14ac:dyDescent="0.35">
      <c r="A95" s="2">
        <v>44256</v>
      </c>
      <c r="B95" t="s">
        <v>28</v>
      </c>
      <c r="C95" t="s">
        <v>29</v>
      </c>
      <c r="D95" t="s">
        <v>30</v>
      </c>
      <c r="E95" t="s">
        <v>31</v>
      </c>
      <c r="F95" s="3">
        <v>10758.7</v>
      </c>
      <c r="G95" s="3">
        <v>15000</v>
      </c>
      <c r="H95" s="3" t="str">
        <f t="shared" si="1"/>
        <v>$_</v>
      </c>
      <c r="I95" t="s">
        <v>13</v>
      </c>
    </row>
    <row r="96" spans="1:9" x14ac:dyDescent="0.35">
      <c r="A96" s="2">
        <v>44256</v>
      </c>
      <c r="B96" t="s">
        <v>57</v>
      </c>
      <c r="C96" t="s">
        <v>58</v>
      </c>
      <c r="D96" t="s">
        <v>59</v>
      </c>
      <c r="E96" t="s">
        <v>31</v>
      </c>
      <c r="F96" s="3">
        <v>12124.2</v>
      </c>
      <c r="G96" s="3">
        <v>15000</v>
      </c>
      <c r="H96" s="3" t="str">
        <f t="shared" si="1"/>
        <v>$_</v>
      </c>
      <c r="I96" t="s">
        <v>41</v>
      </c>
    </row>
    <row r="97" spans="1:9" x14ac:dyDescent="0.35">
      <c r="A97" s="2">
        <v>44256</v>
      </c>
      <c r="B97" t="s">
        <v>60</v>
      </c>
      <c r="C97" t="s">
        <v>61</v>
      </c>
      <c r="D97" t="s">
        <v>62</v>
      </c>
      <c r="E97" t="s">
        <v>31</v>
      </c>
      <c r="F97" s="3">
        <v>14391.999999999998</v>
      </c>
      <c r="G97" s="3">
        <v>15000</v>
      </c>
      <c r="H97" s="3" t="str">
        <f t="shared" si="1"/>
        <v>$_</v>
      </c>
      <c r="I97" t="s">
        <v>9</v>
      </c>
    </row>
    <row r="98" spans="1:9" x14ac:dyDescent="0.35">
      <c r="A98" s="2">
        <v>44256</v>
      </c>
      <c r="B98" t="s">
        <v>38</v>
      </c>
      <c r="C98" t="s">
        <v>39</v>
      </c>
      <c r="D98" t="s">
        <v>40</v>
      </c>
      <c r="E98" t="s">
        <v>31</v>
      </c>
      <c r="F98" s="3">
        <v>15246</v>
      </c>
      <c r="G98" s="3">
        <v>15000</v>
      </c>
      <c r="H98" s="3">
        <f t="shared" si="1"/>
        <v>1524.6000000000001</v>
      </c>
      <c r="I98" t="s">
        <v>9</v>
      </c>
    </row>
    <row r="99" spans="1:9" x14ac:dyDescent="0.35">
      <c r="A99" s="2">
        <v>44256</v>
      </c>
      <c r="B99" t="s">
        <v>60</v>
      </c>
      <c r="C99" t="s">
        <v>61</v>
      </c>
      <c r="D99" t="s">
        <v>62</v>
      </c>
      <c r="E99" t="s">
        <v>31</v>
      </c>
      <c r="F99" s="3">
        <v>17335.2</v>
      </c>
      <c r="G99" s="3">
        <v>15000</v>
      </c>
      <c r="H99" s="3">
        <f t="shared" si="1"/>
        <v>1733.5200000000002</v>
      </c>
      <c r="I99" t="s">
        <v>41</v>
      </c>
    </row>
    <row r="100" spans="1:9" x14ac:dyDescent="0.35">
      <c r="A100" s="2">
        <v>44256</v>
      </c>
      <c r="B100" t="s">
        <v>38</v>
      </c>
      <c r="C100" t="s">
        <v>39</v>
      </c>
      <c r="D100" t="s">
        <v>40</v>
      </c>
      <c r="E100" t="s">
        <v>31</v>
      </c>
      <c r="F100" s="3">
        <v>40831</v>
      </c>
      <c r="G100" s="3">
        <v>15000</v>
      </c>
      <c r="H100" s="3">
        <f t="shared" si="1"/>
        <v>4083.1000000000004</v>
      </c>
      <c r="I100" t="s">
        <v>9</v>
      </c>
    </row>
    <row r="101" spans="1:9" x14ac:dyDescent="0.35">
      <c r="A101" s="2">
        <v>44256</v>
      </c>
      <c r="B101" t="s">
        <v>32</v>
      </c>
      <c r="C101" t="s">
        <v>33</v>
      </c>
      <c r="D101" t="s">
        <v>34</v>
      </c>
      <c r="E101" t="s">
        <v>24</v>
      </c>
      <c r="F101" s="3">
        <v>6544.8</v>
      </c>
      <c r="G101" s="3">
        <v>15000</v>
      </c>
      <c r="H101" s="3" t="str">
        <f t="shared" si="1"/>
        <v>$_</v>
      </c>
      <c r="I101" t="s">
        <v>9</v>
      </c>
    </row>
    <row r="102" spans="1:9" x14ac:dyDescent="0.35">
      <c r="A102" s="2">
        <v>44256</v>
      </c>
      <c r="B102" t="s">
        <v>48</v>
      </c>
      <c r="C102" t="s">
        <v>49</v>
      </c>
      <c r="D102" t="s">
        <v>50</v>
      </c>
      <c r="E102" t="s">
        <v>24</v>
      </c>
      <c r="F102" s="3">
        <v>11166.300000000001</v>
      </c>
      <c r="G102" s="3">
        <v>15000</v>
      </c>
      <c r="H102" s="3" t="str">
        <f t="shared" si="1"/>
        <v>$_</v>
      </c>
      <c r="I102" t="s">
        <v>13</v>
      </c>
    </row>
    <row r="103" spans="1:9" x14ac:dyDescent="0.35">
      <c r="A103" s="2">
        <v>44256</v>
      </c>
      <c r="B103" t="s">
        <v>32</v>
      </c>
      <c r="C103" t="s">
        <v>33</v>
      </c>
      <c r="D103" t="s">
        <v>34</v>
      </c>
      <c r="E103" t="s">
        <v>24</v>
      </c>
      <c r="F103" s="3">
        <v>11403</v>
      </c>
      <c r="G103" s="3">
        <v>15000</v>
      </c>
      <c r="H103" s="3" t="str">
        <f t="shared" si="1"/>
        <v>$_</v>
      </c>
      <c r="I103" t="s">
        <v>13</v>
      </c>
    </row>
    <row r="104" spans="1:9" x14ac:dyDescent="0.35">
      <c r="A104" s="2">
        <v>44256</v>
      </c>
      <c r="B104" t="s">
        <v>32</v>
      </c>
      <c r="C104" t="s">
        <v>33</v>
      </c>
      <c r="D104" t="s">
        <v>34</v>
      </c>
      <c r="E104" t="s">
        <v>24</v>
      </c>
      <c r="F104" s="3">
        <v>11554.400000000001</v>
      </c>
      <c r="G104" s="3">
        <v>15000</v>
      </c>
      <c r="H104" s="3" t="str">
        <f t="shared" si="1"/>
        <v>$_</v>
      </c>
      <c r="I104" t="s">
        <v>13</v>
      </c>
    </row>
    <row r="105" spans="1:9" x14ac:dyDescent="0.35">
      <c r="A105" s="2">
        <v>44256</v>
      </c>
      <c r="B105" t="s">
        <v>21</v>
      </c>
      <c r="C105" t="s">
        <v>22</v>
      </c>
      <c r="D105" t="s">
        <v>23</v>
      </c>
      <c r="E105" t="s">
        <v>24</v>
      </c>
      <c r="F105" s="3">
        <v>12143.999999999998</v>
      </c>
      <c r="G105" s="3">
        <v>15000</v>
      </c>
      <c r="H105" s="3" t="str">
        <f t="shared" si="1"/>
        <v>$_</v>
      </c>
      <c r="I105" t="s">
        <v>13</v>
      </c>
    </row>
    <row r="106" spans="1:9" x14ac:dyDescent="0.35">
      <c r="A106" s="2">
        <v>44256</v>
      </c>
      <c r="B106" t="s">
        <v>21</v>
      </c>
      <c r="C106" t="s">
        <v>22</v>
      </c>
      <c r="D106" t="s">
        <v>23</v>
      </c>
      <c r="E106" t="s">
        <v>24</v>
      </c>
      <c r="F106" s="3">
        <v>13244.7</v>
      </c>
      <c r="G106" s="3">
        <v>15000</v>
      </c>
      <c r="H106" s="3" t="str">
        <f t="shared" si="1"/>
        <v>$_</v>
      </c>
      <c r="I106" t="s">
        <v>9</v>
      </c>
    </row>
    <row r="107" spans="1:9" x14ac:dyDescent="0.35">
      <c r="A107" s="2">
        <v>44256</v>
      </c>
      <c r="B107" t="s">
        <v>45</v>
      </c>
      <c r="C107" t="s">
        <v>46</v>
      </c>
      <c r="D107" t="s">
        <v>47</v>
      </c>
      <c r="E107" t="s">
        <v>24</v>
      </c>
      <c r="F107" s="3">
        <v>23014.400000000001</v>
      </c>
      <c r="G107" s="3">
        <v>15000</v>
      </c>
      <c r="H107" s="3">
        <f t="shared" si="1"/>
        <v>2301.44</v>
      </c>
      <c r="I107" t="s">
        <v>9</v>
      </c>
    </row>
    <row r="108" spans="1:9" x14ac:dyDescent="0.35">
      <c r="A108" s="2">
        <v>44256</v>
      </c>
      <c r="B108" t="s">
        <v>21</v>
      </c>
      <c r="C108" t="s">
        <v>22</v>
      </c>
      <c r="D108" t="s">
        <v>23</v>
      </c>
      <c r="E108" t="s">
        <v>24</v>
      </c>
      <c r="F108" s="3">
        <v>26200</v>
      </c>
      <c r="G108" s="3">
        <v>15000</v>
      </c>
      <c r="H108" s="3">
        <f t="shared" si="1"/>
        <v>2620</v>
      </c>
      <c r="I108" t="s">
        <v>13</v>
      </c>
    </row>
    <row r="109" spans="1:9" x14ac:dyDescent="0.35">
      <c r="A109" s="2">
        <v>44256</v>
      </c>
      <c r="B109" t="s">
        <v>48</v>
      </c>
      <c r="C109" t="s">
        <v>49</v>
      </c>
      <c r="D109" t="s">
        <v>50</v>
      </c>
      <c r="E109" t="s">
        <v>24</v>
      </c>
      <c r="F109" s="3">
        <v>28286.399999999998</v>
      </c>
      <c r="G109" s="3">
        <v>15000</v>
      </c>
      <c r="H109" s="3">
        <f t="shared" si="1"/>
        <v>2828.64</v>
      </c>
      <c r="I109" t="s">
        <v>9</v>
      </c>
    </row>
    <row r="110" spans="1:9" x14ac:dyDescent="0.35">
      <c r="A110" s="2">
        <v>44256</v>
      </c>
      <c r="B110" t="s">
        <v>21</v>
      </c>
      <c r="C110" t="s">
        <v>22</v>
      </c>
      <c r="D110" t="s">
        <v>23</v>
      </c>
      <c r="E110" t="s">
        <v>24</v>
      </c>
      <c r="F110" s="3">
        <v>35715.4</v>
      </c>
      <c r="G110" s="3">
        <v>15000</v>
      </c>
      <c r="H110" s="3">
        <f t="shared" si="1"/>
        <v>3571.5400000000004</v>
      </c>
      <c r="I110" t="s">
        <v>13</v>
      </c>
    </row>
    <row r="111" spans="1:9" x14ac:dyDescent="0.35">
      <c r="A111" s="2">
        <v>44287</v>
      </c>
      <c r="B111" t="s">
        <v>66</v>
      </c>
      <c r="C111" t="s">
        <v>67</v>
      </c>
      <c r="D111" t="s">
        <v>68</v>
      </c>
      <c r="E111" t="s">
        <v>8</v>
      </c>
      <c r="F111" s="3">
        <v>7029.9</v>
      </c>
      <c r="G111" s="3">
        <v>15000</v>
      </c>
      <c r="H111" s="3" t="str">
        <f t="shared" si="1"/>
        <v>$_</v>
      </c>
      <c r="I111" t="s">
        <v>41</v>
      </c>
    </row>
    <row r="112" spans="1:9" x14ac:dyDescent="0.35">
      <c r="A112" s="2">
        <v>44287</v>
      </c>
      <c r="B112" t="s">
        <v>66</v>
      </c>
      <c r="C112" t="s">
        <v>67</v>
      </c>
      <c r="D112" t="s">
        <v>68</v>
      </c>
      <c r="E112" t="s">
        <v>8</v>
      </c>
      <c r="F112" s="3">
        <v>11914.400000000001</v>
      </c>
      <c r="G112" s="3">
        <v>15000</v>
      </c>
      <c r="H112" s="3" t="str">
        <f t="shared" si="1"/>
        <v>$_</v>
      </c>
      <c r="I112" t="s">
        <v>13</v>
      </c>
    </row>
    <row r="113" spans="1:9" x14ac:dyDescent="0.35">
      <c r="A113" s="2">
        <v>44287</v>
      </c>
      <c r="B113" t="s">
        <v>5</v>
      </c>
      <c r="C113" t="s">
        <v>6</v>
      </c>
      <c r="D113" t="s">
        <v>7</v>
      </c>
      <c r="E113" t="s">
        <v>8</v>
      </c>
      <c r="F113" s="3">
        <v>15919.7</v>
      </c>
      <c r="G113" s="3">
        <v>15000</v>
      </c>
      <c r="H113" s="3">
        <f t="shared" si="1"/>
        <v>1591.9700000000003</v>
      </c>
      <c r="I113" t="s">
        <v>9</v>
      </c>
    </row>
    <row r="114" spans="1:9" x14ac:dyDescent="0.35">
      <c r="A114" s="2">
        <v>44287</v>
      </c>
      <c r="B114" t="s">
        <v>14</v>
      </c>
      <c r="C114" t="s">
        <v>15</v>
      </c>
      <c r="D114" t="s">
        <v>16</v>
      </c>
      <c r="E114" t="s">
        <v>8</v>
      </c>
      <c r="F114" s="3">
        <v>17776</v>
      </c>
      <c r="G114" s="3">
        <v>15000</v>
      </c>
      <c r="H114" s="3">
        <f t="shared" si="1"/>
        <v>1777.6000000000001</v>
      </c>
      <c r="I114" t="s">
        <v>41</v>
      </c>
    </row>
    <row r="115" spans="1:9" x14ac:dyDescent="0.35">
      <c r="A115" s="2">
        <v>44287</v>
      </c>
      <c r="B115" t="s">
        <v>25</v>
      </c>
      <c r="C115" t="s">
        <v>26</v>
      </c>
      <c r="D115" t="s">
        <v>27</v>
      </c>
      <c r="E115" t="s">
        <v>8</v>
      </c>
      <c r="F115" s="3">
        <v>36666</v>
      </c>
      <c r="G115" s="3">
        <v>15000</v>
      </c>
      <c r="H115" s="3">
        <f t="shared" si="1"/>
        <v>3666.6000000000004</v>
      </c>
      <c r="I115" t="s">
        <v>13</v>
      </c>
    </row>
    <row r="116" spans="1:9" x14ac:dyDescent="0.35">
      <c r="A116" s="2">
        <v>44287</v>
      </c>
      <c r="B116" t="s">
        <v>14</v>
      </c>
      <c r="C116" t="s">
        <v>15</v>
      </c>
      <c r="D116" t="s">
        <v>16</v>
      </c>
      <c r="E116" t="s">
        <v>8</v>
      </c>
      <c r="F116" s="3">
        <v>38227.699999999997</v>
      </c>
      <c r="G116" s="3">
        <v>15000</v>
      </c>
      <c r="H116" s="3">
        <f t="shared" si="1"/>
        <v>3822.77</v>
      </c>
      <c r="I116" t="s">
        <v>9</v>
      </c>
    </row>
    <row r="117" spans="1:9" x14ac:dyDescent="0.35">
      <c r="A117" s="2">
        <v>44287</v>
      </c>
      <c r="B117" t="s">
        <v>14</v>
      </c>
      <c r="C117" t="s">
        <v>15</v>
      </c>
      <c r="D117" t="s">
        <v>16</v>
      </c>
      <c r="E117" t="s">
        <v>8</v>
      </c>
      <c r="F117" s="3">
        <v>51531.199999999997</v>
      </c>
      <c r="G117" s="3">
        <v>15000</v>
      </c>
      <c r="H117" s="3">
        <f t="shared" si="1"/>
        <v>5153.12</v>
      </c>
      <c r="I117" t="s">
        <v>41</v>
      </c>
    </row>
    <row r="118" spans="1:9" x14ac:dyDescent="0.35">
      <c r="A118" s="2">
        <v>44287</v>
      </c>
      <c r="B118" t="s">
        <v>51</v>
      </c>
      <c r="C118" t="s">
        <v>52</v>
      </c>
      <c r="D118" t="s">
        <v>53</v>
      </c>
      <c r="E118" t="s">
        <v>20</v>
      </c>
      <c r="F118" s="3">
        <v>5696.4</v>
      </c>
      <c r="G118" s="3">
        <v>15000</v>
      </c>
      <c r="H118" s="3" t="str">
        <f t="shared" si="1"/>
        <v>$_</v>
      </c>
      <c r="I118" t="s">
        <v>9</v>
      </c>
    </row>
    <row r="119" spans="1:9" x14ac:dyDescent="0.35">
      <c r="A119" s="2">
        <v>44287</v>
      </c>
      <c r="B119" t="s">
        <v>17</v>
      </c>
      <c r="C119" t="s">
        <v>18</v>
      </c>
      <c r="D119" t="s">
        <v>19</v>
      </c>
      <c r="E119" t="s">
        <v>20</v>
      </c>
      <c r="F119" s="3">
        <v>11716.5</v>
      </c>
      <c r="G119" s="3">
        <v>15000</v>
      </c>
      <c r="H119" s="3" t="str">
        <f t="shared" si="1"/>
        <v>$_</v>
      </c>
      <c r="I119" t="s">
        <v>9</v>
      </c>
    </row>
    <row r="120" spans="1:9" x14ac:dyDescent="0.35">
      <c r="A120" s="2">
        <v>44287</v>
      </c>
      <c r="B120" t="s">
        <v>63</v>
      </c>
      <c r="C120" t="s">
        <v>64</v>
      </c>
      <c r="D120" t="s">
        <v>65</v>
      </c>
      <c r="E120" t="s">
        <v>20</v>
      </c>
      <c r="F120" s="3">
        <v>14416</v>
      </c>
      <c r="G120" s="3">
        <v>15000</v>
      </c>
      <c r="H120" s="3" t="str">
        <f t="shared" si="1"/>
        <v>$_</v>
      </c>
      <c r="I120" t="s">
        <v>41</v>
      </c>
    </row>
    <row r="121" spans="1:9" x14ac:dyDescent="0.35">
      <c r="A121" s="2">
        <v>44287</v>
      </c>
      <c r="B121" t="s">
        <v>17</v>
      </c>
      <c r="C121" t="s">
        <v>18</v>
      </c>
      <c r="D121" t="s">
        <v>19</v>
      </c>
      <c r="E121" t="s">
        <v>20</v>
      </c>
      <c r="F121" s="3">
        <v>16499.400000000001</v>
      </c>
      <c r="G121" s="3">
        <v>15000</v>
      </c>
      <c r="H121" s="3">
        <f t="shared" si="1"/>
        <v>1649.9400000000003</v>
      </c>
      <c r="I121" t="s">
        <v>13</v>
      </c>
    </row>
    <row r="122" spans="1:9" x14ac:dyDescent="0.35">
      <c r="A122" s="2">
        <v>44287</v>
      </c>
      <c r="B122" t="s">
        <v>51</v>
      </c>
      <c r="C122" t="s">
        <v>52</v>
      </c>
      <c r="D122" t="s">
        <v>53</v>
      </c>
      <c r="E122" t="s">
        <v>20</v>
      </c>
      <c r="F122" s="3">
        <v>16968</v>
      </c>
      <c r="G122" s="3">
        <v>15000</v>
      </c>
      <c r="H122" s="3">
        <f t="shared" si="1"/>
        <v>1696.8000000000002</v>
      </c>
      <c r="I122" t="s">
        <v>41</v>
      </c>
    </row>
    <row r="123" spans="1:9" x14ac:dyDescent="0.35">
      <c r="A123" s="2">
        <v>44287</v>
      </c>
      <c r="B123" t="s">
        <v>42</v>
      </c>
      <c r="C123" t="s">
        <v>43</v>
      </c>
      <c r="D123" t="s">
        <v>44</v>
      </c>
      <c r="E123" t="s">
        <v>20</v>
      </c>
      <c r="F123" s="3">
        <v>17993.5</v>
      </c>
      <c r="G123" s="3">
        <v>15000</v>
      </c>
      <c r="H123" s="3">
        <f t="shared" si="1"/>
        <v>1799.3500000000001</v>
      </c>
      <c r="I123" t="s">
        <v>9</v>
      </c>
    </row>
    <row r="124" spans="1:9" x14ac:dyDescent="0.35">
      <c r="A124" s="2">
        <v>44287</v>
      </c>
      <c r="B124" t="s">
        <v>51</v>
      </c>
      <c r="C124" t="s">
        <v>52</v>
      </c>
      <c r="D124" t="s">
        <v>53</v>
      </c>
      <c r="E124" t="s">
        <v>20</v>
      </c>
      <c r="F124" s="3">
        <v>18188.399999999998</v>
      </c>
      <c r="G124" s="3">
        <v>15000</v>
      </c>
      <c r="H124" s="3">
        <f t="shared" si="1"/>
        <v>1818.84</v>
      </c>
      <c r="I124" t="s">
        <v>13</v>
      </c>
    </row>
    <row r="125" spans="1:9" x14ac:dyDescent="0.35">
      <c r="A125" s="2">
        <v>44287</v>
      </c>
      <c r="B125" t="s">
        <v>28</v>
      </c>
      <c r="C125" t="s">
        <v>29</v>
      </c>
      <c r="D125" t="s">
        <v>30</v>
      </c>
      <c r="E125" t="s">
        <v>31</v>
      </c>
      <c r="F125" s="3">
        <v>8520</v>
      </c>
      <c r="G125" s="3">
        <v>15000</v>
      </c>
      <c r="H125" s="3" t="str">
        <f t="shared" si="1"/>
        <v>$_</v>
      </c>
      <c r="I125" t="s">
        <v>41</v>
      </c>
    </row>
    <row r="126" spans="1:9" x14ac:dyDescent="0.35">
      <c r="A126" s="2">
        <v>44287</v>
      </c>
      <c r="B126" t="s">
        <v>60</v>
      </c>
      <c r="C126" t="s">
        <v>61</v>
      </c>
      <c r="D126" t="s">
        <v>62</v>
      </c>
      <c r="E126" t="s">
        <v>31</v>
      </c>
      <c r="F126" s="3">
        <v>14301.599999999999</v>
      </c>
      <c r="G126" s="3">
        <v>15000</v>
      </c>
      <c r="H126" s="3" t="str">
        <f t="shared" si="1"/>
        <v>$_</v>
      </c>
      <c r="I126" t="s">
        <v>41</v>
      </c>
    </row>
    <row r="127" spans="1:9" x14ac:dyDescent="0.35">
      <c r="A127" s="2">
        <v>44287</v>
      </c>
      <c r="B127" t="s">
        <v>60</v>
      </c>
      <c r="C127" t="s">
        <v>61</v>
      </c>
      <c r="D127" t="s">
        <v>62</v>
      </c>
      <c r="E127" t="s">
        <v>31</v>
      </c>
      <c r="F127" s="3">
        <v>17204.399999999998</v>
      </c>
      <c r="G127" s="3">
        <v>15000</v>
      </c>
      <c r="H127" s="3">
        <f t="shared" si="1"/>
        <v>1720.4399999999998</v>
      </c>
      <c r="I127" t="s">
        <v>9</v>
      </c>
    </row>
    <row r="128" spans="1:9" x14ac:dyDescent="0.35">
      <c r="A128" s="2">
        <v>44287</v>
      </c>
      <c r="B128" t="s">
        <v>38</v>
      </c>
      <c r="C128" t="s">
        <v>39</v>
      </c>
      <c r="D128" t="s">
        <v>40</v>
      </c>
      <c r="E128" t="s">
        <v>31</v>
      </c>
      <c r="F128" s="3">
        <v>19080</v>
      </c>
      <c r="G128" s="3">
        <v>15000</v>
      </c>
      <c r="H128" s="3">
        <f t="shared" si="1"/>
        <v>1908</v>
      </c>
      <c r="I128" t="s">
        <v>13</v>
      </c>
    </row>
    <row r="129" spans="1:9" x14ac:dyDescent="0.35">
      <c r="A129" s="2">
        <v>44287</v>
      </c>
      <c r="B129" t="s">
        <v>28</v>
      </c>
      <c r="C129" t="s">
        <v>29</v>
      </c>
      <c r="D129" t="s">
        <v>30</v>
      </c>
      <c r="E129" t="s">
        <v>31</v>
      </c>
      <c r="F129" s="3">
        <v>19210.400000000001</v>
      </c>
      <c r="G129" s="3">
        <v>15000</v>
      </c>
      <c r="H129" s="3">
        <f t="shared" si="1"/>
        <v>1921.0400000000002</v>
      </c>
      <c r="I129" t="s">
        <v>9</v>
      </c>
    </row>
    <row r="130" spans="1:9" x14ac:dyDescent="0.35">
      <c r="A130" s="2">
        <v>44287</v>
      </c>
      <c r="B130" t="s">
        <v>28</v>
      </c>
      <c r="C130" t="s">
        <v>29</v>
      </c>
      <c r="D130" t="s">
        <v>30</v>
      </c>
      <c r="E130" t="s">
        <v>31</v>
      </c>
      <c r="F130" s="3">
        <v>32282.799999999996</v>
      </c>
      <c r="G130" s="3">
        <v>15000</v>
      </c>
      <c r="H130" s="3">
        <f t="shared" ref="H130:H193" si="2">IF(F130&gt;=G130, F130*Commission, "$_")</f>
        <v>3228.2799999999997</v>
      </c>
      <c r="I130" t="s">
        <v>13</v>
      </c>
    </row>
    <row r="131" spans="1:9" x14ac:dyDescent="0.35">
      <c r="A131" s="2">
        <v>44287</v>
      </c>
      <c r="B131" t="s">
        <v>69</v>
      </c>
      <c r="C131" t="s">
        <v>70</v>
      </c>
      <c r="D131" t="s">
        <v>71</v>
      </c>
      <c r="E131" t="s">
        <v>31</v>
      </c>
      <c r="F131" s="3">
        <v>32524.1</v>
      </c>
      <c r="G131" s="3">
        <v>15000</v>
      </c>
      <c r="H131" s="3">
        <f t="shared" si="2"/>
        <v>3252.41</v>
      </c>
      <c r="I131" t="s">
        <v>9</v>
      </c>
    </row>
    <row r="132" spans="1:9" x14ac:dyDescent="0.35">
      <c r="A132" s="2">
        <v>44287</v>
      </c>
      <c r="B132" t="s">
        <v>28</v>
      </c>
      <c r="C132" t="s">
        <v>29</v>
      </c>
      <c r="D132" t="s">
        <v>30</v>
      </c>
      <c r="E132" t="s">
        <v>31</v>
      </c>
      <c r="F132" s="3">
        <v>35153.799999999996</v>
      </c>
      <c r="G132" s="3">
        <v>15000</v>
      </c>
      <c r="H132" s="3">
        <f t="shared" si="2"/>
        <v>3515.3799999999997</v>
      </c>
      <c r="I132" t="s">
        <v>9</v>
      </c>
    </row>
    <row r="133" spans="1:9" x14ac:dyDescent="0.35">
      <c r="A133" s="2">
        <v>44287</v>
      </c>
      <c r="B133" t="s">
        <v>28</v>
      </c>
      <c r="C133" t="s">
        <v>29</v>
      </c>
      <c r="D133" t="s">
        <v>30</v>
      </c>
      <c r="E133" t="s">
        <v>31</v>
      </c>
      <c r="F133" s="3">
        <v>35820</v>
      </c>
      <c r="G133" s="3">
        <v>15000</v>
      </c>
      <c r="H133" s="3">
        <f t="shared" si="2"/>
        <v>3582</v>
      </c>
      <c r="I133" t="s">
        <v>41</v>
      </c>
    </row>
    <row r="134" spans="1:9" x14ac:dyDescent="0.35">
      <c r="A134" s="2">
        <v>44287</v>
      </c>
      <c r="B134" t="s">
        <v>57</v>
      </c>
      <c r="C134" t="s">
        <v>58</v>
      </c>
      <c r="D134" t="s">
        <v>59</v>
      </c>
      <c r="E134" t="s">
        <v>31</v>
      </c>
      <c r="F134" s="3">
        <v>42690.400000000001</v>
      </c>
      <c r="G134" s="3">
        <v>15000</v>
      </c>
      <c r="H134" s="3">
        <f t="shared" si="2"/>
        <v>4269.04</v>
      </c>
      <c r="I134" t="s">
        <v>41</v>
      </c>
    </row>
    <row r="135" spans="1:9" x14ac:dyDescent="0.35">
      <c r="A135" s="2">
        <v>44287</v>
      </c>
      <c r="B135" t="s">
        <v>54</v>
      </c>
      <c r="C135" t="s">
        <v>55</v>
      </c>
      <c r="D135" t="s">
        <v>56</v>
      </c>
      <c r="E135" t="s">
        <v>24</v>
      </c>
      <c r="F135" s="3">
        <v>6960</v>
      </c>
      <c r="G135" s="3">
        <v>15000</v>
      </c>
      <c r="H135" s="3" t="str">
        <f t="shared" si="2"/>
        <v>$_</v>
      </c>
      <c r="I135" t="s">
        <v>41</v>
      </c>
    </row>
    <row r="136" spans="1:9" x14ac:dyDescent="0.35">
      <c r="A136" s="2">
        <v>44287</v>
      </c>
      <c r="B136" t="s">
        <v>45</v>
      </c>
      <c r="C136" t="s">
        <v>46</v>
      </c>
      <c r="D136" t="s">
        <v>47</v>
      </c>
      <c r="E136" t="s">
        <v>24</v>
      </c>
      <c r="F136" s="3">
        <v>9627.8999999999978</v>
      </c>
      <c r="G136" s="3">
        <v>15000</v>
      </c>
      <c r="H136" s="3" t="str">
        <f t="shared" si="2"/>
        <v>$_</v>
      </c>
      <c r="I136" t="s">
        <v>9</v>
      </c>
    </row>
    <row r="137" spans="1:9" x14ac:dyDescent="0.35">
      <c r="A137" s="2">
        <v>44287</v>
      </c>
      <c r="B137" t="s">
        <v>32</v>
      </c>
      <c r="C137" t="s">
        <v>33</v>
      </c>
      <c r="D137" t="s">
        <v>34</v>
      </c>
      <c r="E137" t="s">
        <v>24</v>
      </c>
      <c r="F137" s="3">
        <v>13725.600000000002</v>
      </c>
      <c r="G137" s="3">
        <v>15000</v>
      </c>
      <c r="H137" s="3" t="str">
        <f t="shared" si="2"/>
        <v>$_</v>
      </c>
      <c r="I137" t="s">
        <v>41</v>
      </c>
    </row>
    <row r="138" spans="1:9" x14ac:dyDescent="0.35">
      <c r="A138" s="2">
        <v>44287</v>
      </c>
      <c r="B138" t="s">
        <v>45</v>
      </c>
      <c r="C138" t="s">
        <v>46</v>
      </c>
      <c r="D138" t="s">
        <v>47</v>
      </c>
      <c r="E138" t="s">
        <v>24</v>
      </c>
      <c r="F138" s="3">
        <v>15353.2</v>
      </c>
      <c r="G138" s="3">
        <v>15000</v>
      </c>
      <c r="H138" s="3">
        <f t="shared" si="2"/>
        <v>1535.3200000000002</v>
      </c>
      <c r="I138" t="s">
        <v>9</v>
      </c>
    </row>
    <row r="139" spans="1:9" x14ac:dyDescent="0.35">
      <c r="A139" s="2">
        <v>44287</v>
      </c>
      <c r="B139" t="s">
        <v>21</v>
      </c>
      <c r="C139" t="s">
        <v>22</v>
      </c>
      <c r="D139" t="s">
        <v>23</v>
      </c>
      <c r="E139" t="s">
        <v>24</v>
      </c>
      <c r="F139" s="3">
        <v>18994.5</v>
      </c>
      <c r="G139" s="3">
        <v>15000</v>
      </c>
      <c r="H139" s="3">
        <f t="shared" si="2"/>
        <v>1899.45</v>
      </c>
      <c r="I139" t="s">
        <v>13</v>
      </c>
    </row>
    <row r="140" spans="1:9" x14ac:dyDescent="0.35">
      <c r="A140" s="2">
        <v>44287</v>
      </c>
      <c r="B140" t="s">
        <v>21</v>
      </c>
      <c r="C140" t="s">
        <v>22</v>
      </c>
      <c r="D140" t="s">
        <v>23</v>
      </c>
      <c r="E140" t="s">
        <v>24</v>
      </c>
      <c r="F140" s="3">
        <v>28628.799999999996</v>
      </c>
      <c r="G140" s="3">
        <v>15000</v>
      </c>
      <c r="H140" s="3">
        <f t="shared" si="2"/>
        <v>2862.8799999999997</v>
      </c>
      <c r="I140" t="s">
        <v>41</v>
      </c>
    </row>
    <row r="141" spans="1:9" x14ac:dyDescent="0.35">
      <c r="A141" s="2">
        <v>44317</v>
      </c>
      <c r="B141" t="s">
        <v>10</v>
      </c>
      <c r="C141" t="s">
        <v>11</v>
      </c>
      <c r="D141" t="s">
        <v>12</v>
      </c>
      <c r="E141" t="s">
        <v>8</v>
      </c>
      <c r="F141" s="3">
        <v>8686.6</v>
      </c>
      <c r="G141" s="3">
        <v>15000</v>
      </c>
      <c r="H141" s="3" t="str">
        <f t="shared" si="2"/>
        <v>$_</v>
      </c>
      <c r="I141" t="s">
        <v>13</v>
      </c>
    </row>
    <row r="142" spans="1:9" x14ac:dyDescent="0.35">
      <c r="A142" s="2">
        <v>44317</v>
      </c>
      <c r="B142" t="s">
        <v>14</v>
      </c>
      <c r="C142" t="s">
        <v>15</v>
      </c>
      <c r="D142" t="s">
        <v>16</v>
      </c>
      <c r="E142" t="s">
        <v>8</v>
      </c>
      <c r="F142" s="3">
        <v>12422.2</v>
      </c>
      <c r="G142" s="3">
        <v>15000</v>
      </c>
      <c r="H142" s="3" t="str">
        <f t="shared" si="2"/>
        <v>$_</v>
      </c>
      <c r="I142" t="s">
        <v>41</v>
      </c>
    </row>
    <row r="143" spans="1:9" x14ac:dyDescent="0.35">
      <c r="A143" s="2">
        <v>44317</v>
      </c>
      <c r="B143" t="s">
        <v>25</v>
      </c>
      <c r="C143" t="s">
        <v>26</v>
      </c>
      <c r="D143" t="s">
        <v>27</v>
      </c>
      <c r="E143" t="s">
        <v>8</v>
      </c>
      <c r="F143" s="3">
        <v>15120</v>
      </c>
      <c r="G143" s="3">
        <v>15000</v>
      </c>
      <c r="H143" s="3">
        <f t="shared" si="2"/>
        <v>1512</v>
      </c>
      <c r="I143" t="s">
        <v>13</v>
      </c>
    </row>
    <row r="144" spans="1:9" x14ac:dyDescent="0.35">
      <c r="A144" s="2">
        <v>44317</v>
      </c>
      <c r="B144" t="s">
        <v>10</v>
      </c>
      <c r="C144" t="s">
        <v>11</v>
      </c>
      <c r="D144" t="s">
        <v>12</v>
      </c>
      <c r="E144" t="s">
        <v>8</v>
      </c>
      <c r="F144" s="3">
        <v>16604.400000000001</v>
      </c>
      <c r="G144" s="3">
        <v>15000</v>
      </c>
      <c r="H144" s="3">
        <f t="shared" si="2"/>
        <v>1660.4400000000003</v>
      </c>
      <c r="I144" t="s">
        <v>41</v>
      </c>
    </row>
    <row r="145" spans="1:9" x14ac:dyDescent="0.35">
      <c r="A145" s="2">
        <v>44317</v>
      </c>
      <c r="B145" t="s">
        <v>14</v>
      </c>
      <c r="C145" t="s">
        <v>15</v>
      </c>
      <c r="D145" t="s">
        <v>16</v>
      </c>
      <c r="E145" t="s">
        <v>8</v>
      </c>
      <c r="F145" s="3">
        <v>19584</v>
      </c>
      <c r="G145" s="3">
        <v>15000</v>
      </c>
      <c r="H145" s="3">
        <f t="shared" si="2"/>
        <v>1958.4</v>
      </c>
      <c r="I145" t="s">
        <v>13</v>
      </c>
    </row>
    <row r="146" spans="1:9" x14ac:dyDescent="0.35">
      <c r="A146" s="2">
        <v>44317</v>
      </c>
      <c r="B146" t="s">
        <v>5</v>
      </c>
      <c r="C146" t="s">
        <v>6</v>
      </c>
      <c r="D146" t="s">
        <v>7</v>
      </c>
      <c r="E146" t="s">
        <v>8</v>
      </c>
      <c r="F146" s="3">
        <v>26546.6</v>
      </c>
      <c r="G146" s="3">
        <v>15000</v>
      </c>
      <c r="H146" s="3">
        <f t="shared" si="2"/>
        <v>2654.66</v>
      </c>
      <c r="I146" t="s">
        <v>13</v>
      </c>
    </row>
    <row r="147" spans="1:9" x14ac:dyDescent="0.35">
      <c r="A147" s="2">
        <v>44317</v>
      </c>
      <c r="B147" t="s">
        <v>5</v>
      </c>
      <c r="C147" t="s">
        <v>6</v>
      </c>
      <c r="D147" t="s">
        <v>7</v>
      </c>
      <c r="E147" t="s">
        <v>8</v>
      </c>
      <c r="F147" s="3">
        <v>31200</v>
      </c>
      <c r="G147" s="3">
        <v>15000</v>
      </c>
      <c r="H147" s="3">
        <f t="shared" si="2"/>
        <v>3120</v>
      </c>
      <c r="I147" t="s">
        <v>13</v>
      </c>
    </row>
    <row r="148" spans="1:9" x14ac:dyDescent="0.35">
      <c r="A148" s="2">
        <v>44317</v>
      </c>
      <c r="B148" t="s">
        <v>63</v>
      </c>
      <c r="C148" t="s">
        <v>64</v>
      </c>
      <c r="D148" t="s">
        <v>65</v>
      </c>
      <c r="E148" t="s">
        <v>20</v>
      </c>
      <c r="F148" s="3">
        <v>9004.7999999999993</v>
      </c>
      <c r="G148" s="3">
        <v>15000</v>
      </c>
      <c r="H148" s="3" t="str">
        <f t="shared" si="2"/>
        <v>$_</v>
      </c>
      <c r="I148" t="s">
        <v>9</v>
      </c>
    </row>
    <row r="149" spans="1:9" x14ac:dyDescent="0.35">
      <c r="A149" s="2">
        <v>44317</v>
      </c>
      <c r="B149" t="s">
        <v>51</v>
      </c>
      <c r="C149" t="s">
        <v>52</v>
      </c>
      <c r="D149" t="s">
        <v>53</v>
      </c>
      <c r="E149" t="s">
        <v>20</v>
      </c>
      <c r="F149" s="3">
        <v>18826.400000000001</v>
      </c>
      <c r="G149" s="3">
        <v>15000</v>
      </c>
      <c r="H149" s="3">
        <f t="shared" si="2"/>
        <v>1882.6400000000003</v>
      </c>
      <c r="I149" t="s">
        <v>41</v>
      </c>
    </row>
    <row r="150" spans="1:9" x14ac:dyDescent="0.35">
      <c r="A150" s="2">
        <v>44317</v>
      </c>
      <c r="B150" t="s">
        <v>51</v>
      </c>
      <c r="C150" t="s">
        <v>52</v>
      </c>
      <c r="D150" t="s">
        <v>53</v>
      </c>
      <c r="E150" t="s">
        <v>20</v>
      </c>
      <c r="F150" s="3">
        <v>19617.5</v>
      </c>
      <c r="G150" s="3">
        <v>15000</v>
      </c>
      <c r="H150" s="3">
        <f t="shared" si="2"/>
        <v>1961.75</v>
      </c>
      <c r="I150" t="s">
        <v>41</v>
      </c>
    </row>
    <row r="151" spans="1:9" x14ac:dyDescent="0.35">
      <c r="A151" s="2">
        <v>44317</v>
      </c>
      <c r="B151" t="s">
        <v>51</v>
      </c>
      <c r="C151" t="s">
        <v>52</v>
      </c>
      <c r="D151" t="s">
        <v>53</v>
      </c>
      <c r="E151" t="s">
        <v>20</v>
      </c>
      <c r="F151" s="3">
        <v>19836.400000000001</v>
      </c>
      <c r="G151" s="3">
        <v>15000</v>
      </c>
      <c r="H151" s="3">
        <f t="shared" si="2"/>
        <v>1983.6400000000003</v>
      </c>
      <c r="I151" t="s">
        <v>9</v>
      </c>
    </row>
    <row r="152" spans="1:9" x14ac:dyDescent="0.35">
      <c r="A152" s="2">
        <v>44317</v>
      </c>
      <c r="B152" t="s">
        <v>42</v>
      </c>
      <c r="C152" t="s">
        <v>43</v>
      </c>
      <c r="D152" t="s">
        <v>44</v>
      </c>
      <c r="E152" t="s">
        <v>20</v>
      </c>
      <c r="F152" s="3">
        <v>20717.599999999999</v>
      </c>
      <c r="G152" s="3">
        <v>15000</v>
      </c>
      <c r="H152" s="3">
        <f t="shared" si="2"/>
        <v>2071.7599999999998</v>
      </c>
      <c r="I152" t="s">
        <v>13</v>
      </c>
    </row>
    <row r="153" spans="1:9" x14ac:dyDescent="0.35">
      <c r="A153" s="2">
        <v>44317</v>
      </c>
      <c r="B153" t="s">
        <v>35</v>
      </c>
      <c r="C153" t="s">
        <v>36</v>
      </c>
      <c r="D153" t="s">
        <v>37</v>
      </c>
      <c r="E153" t="s">
        <v>20</v>
      </c>
      <c r="F153" s="3">
        <v>23364</v>
      </c>
      <c r="G153" s="3">
        <v>15000</v>
      </c>
      <c r="H153" s="3">
        <f t="shared" si="2"/>
        <v>2336.4</v>
      </c>
      <c r="I153" t="s">
        <v>13</v>
      </c>
    </row>
    <row r="154" spans="1:9" x14ac:dyDescent="0.35">
      <c r="A154" s="2">
        <v>44317</v>
      </c>
      <c r="B154" t="s">
        <v>51</v>
      </c>
      <c r="C154" t="s">
        <v>52</v>
      </c>
      <c r="D154" t="s">
        <v>53</v>
      </c>
      <c r="E154" t="s">
        <v>20</v>
      </c>
      <c r="F154" s="3">
        <v>23997.600000000002</v>
      </c>
      <c r="G154" s="3">
        <v>15000</v>
      </c>
      <c r="H154" s="3">
        <f t="shared" si="2"/>
        <v>2399.7600000000002</v>
      </c>
      <c r="I154" t="s">
        <v>9</v>
      </c>
    </row>
    <row r="155" spans="1:9" x14ac:dyDescent="0.35">
      <c r="A155" s="2">
        <v>44317</v>
      </c>
      <c r="B155" t="s">
        <v>63</v>
      </c>
      <c r="C155" t="s">
        <v>64</v>
      </c>
      <c r="D155" t="s">
        <v>65</v>
      </c>
      <c r="E155" t="s">
        <v>20</v>
      </c>
      <c r="F155" s="3">
        <v>27916.399999999998</v>
      </c>
      <c r="G155" s="3">
        <v>15000</v>
      </c>
      <c r="H155" s="3">
        <f t="shared" si="2"/>
        <v>2791.64</v>
      </c>
      <c r="I155" t="s">
        <v>41</v>
      </c>
    </row>
    <row r="156" spans="1:9" x14ac:dyDescent="0.35">
      <c r="A156" s="2">
        <v>44317</v>
      </c>
      <c r="B156" t="s">
        <v>63</v>
      </c>
      <c r="C156" t="s">
        <v>64</v>
      </c>
      <c r="D156" t="s">
        <v>65</v>
      </c>
      <c r="E156" t="s">
        <v>20</v>
      </c>
      <c r="F156" s="3">
        <v>42249.1</v>
      </c>
      <c r="G156" s="3">
        <v>15000</v>
      </c>
      <c r="H156" s="3">
        <f t="shared" si="2"/>
        <v>4224.91</v>
      </c>
      <c r="I156" t="s">
        <v>13</v>
      </c>
    </row>
    <row r="157" spans="1:9" x14ac:dyDescent="0.35">
      <c r="A157" s="2">
        <v>44317</v>
      </c>
      <c r="B157" t="s">
        <v>57</v>
      </c>
      <c r="C157" t="s">
        <v>58</v>
      </c>
      <c r="D157" t="s">
        <v>59</v>
      </c>
      <c r="E157" t="s">
        <v>31</v>
      </c>
      <c r="F157" s="3">
        <v>9270.1</v>
      </c>
      <c r="G157" s="3">
        <v>15000</v>
      </c>
      <c r="H157" s="3" t="str">
        <f t="shared" si="2"/>
        <v>$_</v>
      </c>
      <c r="I157" t="s">
        <v>9</v>
      </c>
    </row>
    <row r="158" spans="1:9" x14ac:dyDescent="0.35">
      <c r="A158" s="2">
        <v>44317</v>
      </c>
      <c r="B158" t="s">
        <v>57</v>
      </c>
      <c r="C158" t="s">
        <v>58</v>
      </c>
      <c r="D158" t="s">
        <v>59</v>
      </c>
      <c r="E158" t="s">
        <v>31</v>
      </c>
      <c r="F158" s="3">
        <v>11235</v>
      </c>
      <c r="G158" s="3">
        <v>15000</v>
      </c>
      <c r="H158" s="3" t="str">
        <f t="shared" si="2"/>
        <v>$_</v>
      </c>
      <c r="I158" t="s">
        <v>41</v>
      </c>
    </row>
    <row r="159" spans="1:9" x14ac:dyDescent="0.35">
      <c r="A159" s="2">
        <v>44317</v>
      </c>
      <c r="B159" t="s">
        <v>69</v>
      </c>
      <c r="C159" t="s">
        <v>70</v>
      </c>
      <c r="D159" t="s">
        <v>71</v>
      </c>
      <c r="E159" t="s">
        <v>31</v>
      </c>
      <c r="F159" s="3">
        <v>12019.799999999997</v>
      </c>
      <c r="G159" s="3">
        <v>15000</v>
      </c>
      <c r="H159" s="3" t="str">
        <f t="shared" si="2"/>
        <v>$_</v>
      </c>
      <c r="I159" t="s">
        <v>9</v>
      </c>
    </row>
    <row r="160" spans="1:9" x14ac:dyDescent="0.35">
      <c r="A160" s="2">
        <v>44317</v>
      </c>
      <c r="B160" t="s">
        <v>28</v>
      </c>
      <c r="C160" t="s">
        <v>29</v>
      </c>
      <c r="D160" t="s">
        <v>30</v>
      </c>
      <c r="E160" t="s">
        <v>31</v>
      </c>
      <c r="F160" s="3">
        <v>27930</v>
      </c>
      <c r="G160" s="3">
        <v>15000</v>
      </c>
      <c r="H160" s="3">
        <f t="shared" si="2"/>
        <v>2793</v>
      </c>
      <c r="I160" t="s">
        <v>13</v>
      </c>
    </row>
    <row r="161" spans="1:9" x14ac:dyDescent="0.35">
      <c r="A161" s="2">
        <v>44317</v>
      </c>
      <c r="B161" t="s">
        <v>54</v>
      </c>
      <c r="C161" t="s">
        <v>55</v>
      </c>
      <c r="D161" t="s">
        <v>56</v>
      </c>
      <c r="E161" t="s">
        <v>24</v>
      </c>
      <c r="F161" s="3">
        <v>10948</v>
      </c>
      <c r="G161" s="3">
        <v>15000</v>
      </c>
      <c r="H161" s="3" t="str">
        <f t="shared" si="2"/>
        <v>$_</v>
      </c>
      <c r="I161" t="s">
        <v>9</v>
      </c>
    </row>
    <row r="162" spans="1:9" x14ac:dyDescent="0.35">
      <c r="A162" s="2">
        <v>44317</v>
      </c>
      <c r="B162" t="s">
        <v>48</v>
      </c>
      <c r="C162" t="s">
        <v>49</v>
      </c>
      <c r="D162" t="s">
        <v>50</v>
      </c>
      <c r="E162" t="s">
        <v>24</v>
      </c>
      <c r="F162" s="3">
        <v>13044.899999999998</v>
      </c>
      <c r="G162" s="3">
        <v>15000</v>
      </c>
      <c r="H162" s="3" t="str">
        <f t="shared" si="2"/>
        <v>$_</v>
      </c>
      <c r="I162" t="s">
        <v>9</v>
      </c>
    </row>
    <row r="163" spans="1:9" x14ac:dyDescent="0.35">
      <c r="A163" s="2">
        <v>44317</v>
      </c>
      <c r="B163" t="s">
        <v>45</v>
      </c>
      <c r="C163" t="s">
        <v>46</v>
      </c>
      <c r="D163" t="s">
        <v>47</v>
      </c>
      <c r="E163" t="s">
        <v>24</v>
      </c>
      <c r="F163" s="3">
        <v>28616</v>
      </c>
      <c r="G163" s="3">
        <v>15000</v>
      </c>
      <c r="H163" s="3">
        <f t="shared" si="2"/>
        <v>2861.6000000000004</v>
      </c>
      <c r="I163" t="s">
        <v>41</v>
      </c>
    </row>
    <row r="164" spans="1:9" x14ac:dyDescent="0.35">
      <c r="A164" s="2">
        <v>44317</v>
      </c>
      <c r="B164" t="s">
        <v>32</v>
      </c>
      <c r="C164" t="s">
        <v>33</v>
      </c>
      <c r="D164" t="s">
        <v>34</v>
      </c>
      <c r="E164" t="s">
        <v>24</v>
      </c>
      <c r="F164" s="3">
        <v>30377.399999999998</v>
      </c>
      <c r="G164" s="3">
        <v>15000</v>
      </c>
      <c r="H164" s="3">
        <f t="shared" si="2"/>
        <v>3037.74</v>
      </c>
      <c r="I164" t="s">
        <v>41</v>
      </c>
    </row>
    <row r="165" spans="1:9" x14ac:dyDescent="0.35">
      <c r="A165" s="2">
        <v>44317</v>
      </c>
      <c r="B165" t="s">
        <v>45</v>
      </c>
      <c r="C165" t="s">
        <v>46</v>
      </c>
      <c r="D165" t="s">
        <v>47</v>
      </c>
      <c r="E165" t="s">
        <v>24</v>
      </c>
      <c r="F165" s="3">
        <v>35351</v>
      </c>
      <c r="G165" s="3">
        <v>15000</v>
      </c>
      <c r="H165" s="3">
        <f t="shared" si="2"/>
        <v>3535.1000000000004</v>
      </c>
      <c r="I165" t="s">
        <v>13</v>
      </c>
    </row>
    <row r="166" spans="1:9" x14ac:dyDescent="0.35">
      <c r="A166" s="2">
        <v>44348</v>
      </c>
      <c r="B166" t="s">
        <v>5</v>
      </c>
      <c r="C166" t="s">
        <v>6</v>
      </c>
      <c r="D166" t="s">
        <v>7</v>
      </c>
      <c r="E166" t="s">
        <v>8</v>
      </c>
      <c r="F166" s="3">
        <v>2070.2999999999997</v>
      </c>
      <c r="G166" s="3">
        <v>15000</v>
      </c>
      <c r="H166" s="3" t="str">
        <f t="shared" si="2"/>
        <v>$_</v>
      </c>
      <c r="I166" t="s">
        <v>9</v>
      </c>
    </row>
    <row r="167" spans="1:9" x14ac:dyDescent="0.35">
      <c r="A167" s="2">
        <v>44348</v>
      </c>
      <c r="B167" t="s">
        <v>14</v>
      </c>
      <c r="C167" t="s">
        <v>15</v>
      </c>
      <c r="D167" t="s">
        <v>16</v>
      </c>
      <c r="E167" t="s">
        <v>8</v>
      </c>
      <c r="F167" s="3">
        <v>9499</v>
      </c>
      <c r="G167" s="3">
        <v>15000</v>
      </c>
      <c r="H167" s="3" t="str">
        <f t="shared" si="2"/>
        <v>$_</v>
      </c>
      <c r="I167" t="s">
        <v>13</v>
      </c>
    </row>
    <row r="168" spans="1:9" x14ac:dyDescent="0.35">
      <c r="A168" s="2">
        <v>44348</v>
      </c>
      <c r="B168" t="s">
        <v>14</v>
      </c>
      <c r="C168" t="s">
        <v>15</v>
      </c>
      <c r="D168" t="s">
        <v>16</v>
      </c>
      <c r="E168" t="s">
        <v>8</v>
      </c>
      <c r="F168" s="3">
        <v>17904.7</v>
      </c>
      <c r="G168" s="3">
        <v>15000</v>
      </c>
      <c r="H168" s="3">
        <f t="shared" si="2"/>
        <v>1790.4700000000003</v>
      </c>
      <c r="I168" t="s">
        <v>41</v>
      </c>
    </row>
    <row r="169" spans="1:9" x14ac:dyDescent="0.35">
      <c r="A169" s="2">
        <v>44348</v>
      </c>
      <c r="B169" t="s">
        <v>14</v>
      </c>
      <c r="C169" t="s">
        <v>15</v>
      </c>
      <c r="D169" t="s">
        <v>16</v>
      </c>
      <c r="E169" t="s">
        <v>8</v>
      </c>
      <c r="F169" s="3">
        <v>18878.399999999998</v>
      </c>
      <c r="G169" s="3">
        <v>15000</v>
      </c>
      <c r="H169" s="3">
        <f t="shared" si="2"/>
        <v>1887.84</v>
      </c>
      <c r="I169" t="s">
        <v>13</v>
      </c>
    </row>
    <row r="170" spans="1:9" x14ac:dyDescent="0.35">
      <c r="A170" s="2">
        <v>44348</v>
      </c>
      <c r="B170" t="s">
        <v>14</v>
      </c>
      <c r="C170" t="s">
        <v>15</v>
      </c>
      <c r="D170" t="s">
        <v>16</v>
      </c>
      <c r="E170" t="s">
        <v>8</v>
      </c>
      <c r="F170" s="3">
        <v>23445</v>
      </c>
      <c r="G170" s="3">
        <v>15000</v>
      </c>
      <c r="H170" s="3">
        <f t="shared" si="2"/>
        <v>2344.5</v>
      </c>
      <c r="I170" t="s">
        <v>13</v>
      </c>
    </row>
    <row r="171" spans="1:9" x14ac:dyDescent="0.35">
      <c r="A171" s="2">
        <v>44348</v>
      </c>
      <c r="B171" t="s">
        <v>14</v>
      </c>
      <c r="C171" t="s">
        <v>15</v>
      </c>
      <c r="D171" t="s">
        <v>16</v>
      </c>
      <c r="E171" t="s">
        <v>8</v>
      </c>
      <c r="F171" s="3">
        <v>34162</v>
      </c>
      <c r="G171" s="3">
        <v>15000</v>
      </c>
      <c r="H171" s="3">
        <f t="shared" si="2"/>
        <v>3416.2000000000003</v>
      </c>
      <c r="I171" t="s">
        <v>13</v>
      </c>
    </row>
    <row r="172" spans="1:9" x14ac:dyDescent="0.35">
      <c r="A172" s="2">
        <v>44348</v>
      </c>
      <c r="B172" t="s">
        <v>42</v>
      </c>
      <c r="C172" t="s">
        <v>43</v>
      </c>
      <c r="D172" t="s">
        <v>44</v>
      </c>
      <c r="E172" t="s">
        <v>20</v>
      </c>
      <c r="F172" s="3">
        <v>9574.7999999999993</v>
      </c>
      <c r="G172" s="3">
        <v>15000</v>
      </c>
      <c r="H172" s="3" t="str">
        <f t="shared" si="2"/>
        <v>$_</v>
      </c>
      <c r="I172" t="s">
        <v>13</v>
      </c>
    </row>
    <row r="173" spans="1:9" x14ac:dyDescent="0.35">
      <c r="A173" s="2">
        <v>44348</v>
      </c>
      <c r="B173" t="s">
        <v>42</v>
      </c>
      <c r="C173" t="s">
        <v>43</v>
      </c>
      <c r="D173" t="s">
        <v>44</v>
      </c>
      <c r="E173" t="s">
        <v>20</v>
      </c>
      <c r="F173" s="3">
        <v>14301.6</v>
      </c>
      <c r="G173" s="3">
        <v>15000</v>
      </c>
      <c r="H173" s="3" t="str">
        <f t="shared" si="2"/>
        <v>$_</v>
      </c>
      <c r="I173" t="s">
        <v>13</v>
      </c>
    </row>
    <row r="174" spans="1:9" x14ac:dyDescent="0.35">
      <c r="A174" s="2">
        <v>44348</v>
      </c>
      <c r="B174" t="s">
        <v>35</v>
      </c>
      <c r="C174" t="s">
        <v>36</v>
      </c>
      <c r="D174" t="s">
        <v>37</v>
      </c>
      <c r="E174" t="s">
        <v>20</v>
      </c>
      <c r="F174" s="3">
        <v>15061.2</v>
      </c>
      <c r="G174" s="3">
        <v>15000</v>
      </c>
      <c r="H174" s="3">
        <f t="shared" si="2"/>
        <v>1506.1200000000001</v>
      </c>
      <c r="I174" t="s">
        <v>13</v>
      </c>
    </row>
    <row r="175" spans="1:9" x14ac:dyDescent="0.35">
      <c r="A175" s="2">
        <v>44348</v>
      </c>
      <c r="B175" t="s">
        <v>51</v>
      </c>
      <c r="C175" t="s">
        <v>52</v>
      </c>
      <c r="D175" t="s">
        <v>53</v>
      </c>
      <c r="E175" t="s">
        <v>20</v>
      </c>
      <c r="F175" s="3">
        <v>17262</v>
      </c>
      <c r="G175" s="3">
        <v>15000</v>
      </c>
      <c r="H175" s="3">
        <f t="shared" si="2"/>
        <v>1726.2</v>
      </c>
      <c r="I175" t="s">
        <v>13</v>
      </c>
    </row>
    <row r="176" spans="1:9" x14ac:dyDescent="0.35">
      <c r="A176" s="2">
        <v>44348</v>
      </c>
      <c r="B176" t="s">
        <v>63</v>
      </c>
      <c r="C176" t="s">
        <v>64</v>
      </c>
      <c r="D176" t="s">
        <v>65</v>
      </c>
      <c r="E176" t="s">
        <v>20</v>
      </c>
      <c r="F176" s="3">
        <v>37192.5</v>
      </c>
      <c r="G176" s="3">
        <v>15000</v>
      </c>
      <c r="H176" s="3">
        <f t="shared" si="2"/>
        <v>3719.25</v>
      </c>
      <c r="I176" t="s">
        <v>41</v>
      </c>
    </row>
    <row r="177" spans="1:9" x14ac:dyDescent="0.35">
      <c r="A177" s="2">
        <v>44348</v>
      </c>
      <c r="B177" t="s">
        <v>35</v>
      </c>
      <c r="C177" t="s">
        <v>36</v>
      </c>
      <c r="D177" t="s">
        <v>37</v>
      </c>
      <c r="E177" t="s">
        <v>20</v>
      </c>
      <c r="F177" s="3">
        <v>39653.9</v>
      </c>
      <c r="G177" s="3">
        <v>15000</v>
      </c>
      <c r="H177" s="3">
        <f t="shared" si="2"/>
        <v>3965.3900000000003</v>
      </c>
      <c r="I177" t="s">
        <v>41</v>
      </c>
    </row>
    <row r="178" spans="1:9" x14ac:dyDescent="0.35">
      <c r="A178" s="2">
        <v>44348</v>
      </c>
      <c r="B178" t="s">
        <v>38</v>
      </c>
      <c r="C178" t="s">
        <v>39</v>
      </c>
      <c r="D178" t="s">
        <v>40</v>
      </c>
      <c r="E178" t="s">
        <v>31</v>
      </c>
      <c r="F178" s="3">
        <v>7581.9999999999991</v>
      </c>
      <c r="G178" s="3">
        <v>15000</v>
      </c>
      <c r="H178" s="3" t="str">
        <f t="shared" si="2"/>
        <v>$_</v>
      </c>
      <c r="I178" t="s">
        <v>9</v>
      </c>
    </row>
    <row r="179" spans="1:9" x14ac:dyDescent="0.35">
      <c r="A179" s="2">
        <v>44348</v>
      </c>
      <c r="B179" t="s">
        <v>28</v>
      </c>
      <c r="C179" t="s">
        <v>29</v>
      </c>
      <c r="D179" t="s">
        <v>30</v>
      </c>
      <c r="E179" t="s">
        <v>31</v>
      </c>
      <c r="F179" s="3">
        <v>8721.6</v>
      </c>
      <c r="G179" s="3">
        <v>15000</v>
      </c>
      <c r="H179" s="3" t="str">
        <f t="shared" si="2"/>
        <v>$_</v>
      </c>
      <c r="I179" t="s">
        <v>41</v>
      </c>
    </row>
    <row r="180" spans="1:9" x14ac:dyDescent="0.35">
      <c r="A180" s="2">
        <v>44348</v>
      </c>
      <c r="B180" t="s">
        <v>38</v>
      </c>
      <c r="C180" t="s">
        <v>39</v>
      </c>
      <c r="D180" t="s">
        <v>40</v>
      </c>
      <c r="E180" t="s">
        <v>31</v>
      </c>
      <c r="F180" s="3">
        <v>10500</v>
      </c>
      <c r="G180" s="3">
        <v>15000</v>
      </c>
      <c r="H180" s="3" t="str">
        <f t="shared" si="2"/>
        <v>$_</v>
      </c>
      <c r="I180" t="s">
        <v>13</v>
      </c>
    </row>
    <row r="181" spans="1:9" x14ac:dyDescent="0.35">
      <c r="A181" s="2">
        <v>44348</v>
      </c>
      <c r="B181" t="s">
        <v>57</v>
      </c>
      <c r="C181" t="s">
        <v>58</v>
      </c>
      <c r="D181" t="s">
        <v>59</v>
      </c>
      <c r="E181" t="s">
        <v>31</v>
      </c>
      <c r="F181" s="3">
        <v>13466.999999999998</v>
      </c>
      <c r="G181" s="3">
        <v>15000</v>
      </c>
      <c r="H181" s="3" t="str">
        <f t="shared" si="2"/>
        <v>$_</v>
      </c>
      <c r="I181" t="s">
        <v>41</v>
      </c>
    </row>
    <row r="182" spans="1:9" x14ac:dyDescent="0.35">
      <c r="A182" s="2">
        <v>44348</v>
      </c>
      <c r="B182" t="s">
        <v>38</v>
      </c>
      <c r="C182" t="s">
        <v>39</v>
      </c>
      <c r="D182" t="s">
        <v>40</v>
      </c>
      <c r="E182" t="s">
        <v>31</v>
      </c>
      <c r="F182" s="3">
        <v>16036.8</v>
      </c>
      <c r="G182" s="3">
        <v>15000</v>
      </c>
      <c r="H182" s="3">
        <f t="shared" si="2"/>
        <v>1603.68</v>
      </c>
      <c r="I182" t="s">
        <v>13</v>
      </c>
    </row>
    <row r="183" spans="1:9" x14ac:dyDescent="0.35">
      <c r="A183" s="2">
        <v>44348</v>
      </c>
      <c r="B183" t="s">
        <v>60</v>
      </c>
      <c r="C183" t="s">
        <v>61</v>
      </c>
      <c r="D183" t="s">
        <v>62</v>
      </c>
      <c r="E183" t="s">
        <v>31</v>
      </c>
      <c r="F183" s="3">
        <v>16846.8</v>
      </c>
      <c r="G183" s="3">
        <v>15000</v>
      </c>
      <c r="H183" s="3">
        <f t="shared" si="2"/>
        <v>1684.68</v>
      </c>
      <c r="I183" t="s">
        <v>13</v>
      </c>
    </row>
    <row r="184" spans="1:9" x14ac:dyDescent="0.35">
      <c r="A184" s="2">
        <v>44348</v>
      </c>
      <c r="B184" t="s">
        <v>45</v>
      </c>
      <c r="C184" t="s">
        <v>46</v>
      </c>
      <c r="D184" t="s">
        <v>47</v>
      </c>
      <c r="E184" t="s">
        <v>24</v>
      </c>
      <c r="F184" s="3">
        <v>6872.7999999999993</v>
      </c>
      <c r="G184" s="3">
        <v>15000</v>
      </c>
      <c r="H184" s="3" t="str">
        <f t="shared" si="2"/>
        <v>$_</v>
      </c>
      <c r="I184" t="s">
        <v>9</v>
      </c>
    </row>
    <row r="185" spans="1:9" x14ac:dyDescent="0.35">
      <c r="A185" s="2">
        <v>44348</v>
      </c>
      <c r="B185" t="s">
        <v>32</v>
      </c>
      <c r="C185" t="s">
        <v>33</v>
      </c>
      <c r="D185" t="s">
        <v>34</v>
      </c>
      <c r="E185" t="s">
        <v>24</v>
      </c>
      <c r="F185" s="3">
        <v>8827</v>
      </c>
      <c r="G185" s="3">
        <v>15000</v>
      </c>
      <c r="H185" s="3" t="str">
        <f t="shared" si="2"/>
        <v>$_</v>
      </c>
      <c r="I185" t="s">
        <v>41</v>
      </c>
    </row>
    <row r="186" spans="1:9" x14ac:dyDescent="0.35">
      <c r="A186" s="2">
        <v>44348</v>
      </c>
      <c r="B186" t="s">
        <v>54</v>
      </c>
      <c r="C186" t="s">
        <v>55</v>
      </c>
      <c r="D186" t="s">
        <v>56</v>
      </c>
      <c r="E186" t="s">
        <v>24</v>
      </c>
      <c r="F186" s="3">
        <v>9836.8000000000011</v>
      </c>
      <c r="G186" s="3">
        <v>15000</v>
      </c>
      <c r="H186" s="3" t="str">
        <f t="shared" si="2"/>
        <v>$_</v>
      </c>
      <c r="I186" t="s">
        <v>9</v>
      </c>
    </row>
    <row r="187" spans="1:9" x14ac:dyDescent="0.35">
      <c r="A187" s="2">
        <v>44348</v>
      </c>
      <c r="B187" t="s">
        <v>32</v>
      </c>
      <c r="C187" t="s">
        <v>33</v>
      </c>
      <c r="D187" t="s">
        <v>34</v>
      </c>
      <c r="E187" t="s">
        <v>24</v>
      </c>
      <c r="F187" s="3">
        <v>10032</v>
      </c>
      <c r="G187" s="3">
        <v>15000</v>
      </c>
      <c r="H187" s="3" t="str">
        <f t="shared" si="2"/>
        <v>$_</v>
      </c>
      <c r="I187" t="s">
        <v>9</v>
      </c>
    </row>
    <row r="188" spans="1:9" x14ac:dyDescent="0.35">
      <c r="A188" s="2">
        <v>44348</v>
      </c>
      <c r="B188" t="s">
        <v>32</v>
      </c>
      <c r="C188" t="s">
        <v>33</v>
      </c>
      <c r="D188" t="s">
        <v>34</v>
      </c>
      <c r="E188" t="s">
        <v>24</v>
      </c>
      <c r="F188" s="3">
        <v>15953.599999999999</v>
      </c>
      <c r="G188" s="3">
        <v>15000</v>
      </c>
      <c r="H188" s="3">
        <f t="shared" si="2"/>
        <v>1595.36</v>
      </c>
      <c r="I188" t="s">
        <v>13</v>
      </c>
    </row>
    <row r="189" spans="1:9" x14ac:dyDescent="0.35">
      <c r="A189" s="2">
        <v>44348</v>
      </c>
      <c r="B189" t="s">
        <v>45</v>
      </c>
      <c r="C189" t="s">
        <v>46</v>
      </c>
      <c r="D189" t="s">
        <v>47</v>
      </c>
      <c r="E189" t="s">
        <v>24</v>
      </c>
      <c r="F189" s="3">
        <v>25560</v>
      </c>
      <c r="G189" s="3">
        <v>15000</v>
      </c>
      <c r="H189" s="3">
        <f t="shared" si="2"/>
        <v>2556</v>
      </c>
      <c r="I189" t="s">
        <v>9</v>
      </c>
    </row>
    <row r="190" spans="1:9" x14ac:dyDescent="0.35">
      <c r="A190" s="2">
        <v>44348</v>
      </c>
      <c r="B190" t="s">
        <v>32</v>
      </c>
      <c r="C190" t="s">
        <v>33</v>
      </c>
      <c r="D190" t="s">
        <v>34</v>
      </c>
      <c r="E190" t="s">
        <v>24</v>
      </c>
      <c r="F190" s="3">
        <v>35695</v>
      </c>
      <c r="G190" s="3">
        <v>15000</v>
      </c>
      <c r="H190" s="3">
        <f t="shared" si="2"/>
        <v>3569.5</v>
      </c>
      <c r="I190" t="s">
        <v>13</v>
      </c>
    </row>
    <row r="191" spans="1:9" x14ac:dyDescent="0.35">
      <c r="A191" s="2">
        <v>44378</v>
      </c>
      <c r="B191" t="s">
        <v>14</v>
      </c>
      <c r="C191" t="s">
        <v>15</v>
      </c>
      <c r="D191" t="s">
        <v>16</v>
      </c>
      <c r="E191" t="s">
        <v>8</v>
      </c>
      <c r="F191" s="3">
        <v>3055.2</v>
      </c>
      <c r="G191" s="3">
        <v>15000</v>
      </c>
      <c r="H191" s="3" t="str">
        <f t="shared" si="2"/>
        <v>$_</v>
      </c>
      <c r="I191" t="s">
        <v>9</v>
      </c>
    </row>
    <row r="192" spans="1:9" x14ac:dyDescent="0.35">
      <c r="A192" s="2">
        <v>44378</v>
      </c>
      <c r="B192" t="s">
        <v>5</v>
      </c>
      <c r="C192" t="s">
        <v>6</v>
      </c>
      <c r="D192" t="s">
        <v>7</v>
      </c>
      <c r="E192" t="s">
        <v>8</v>
      </c>
      <c r="F192" s="3">
        <v>4843.4000000000005</v>
      </c>
      <c r="G192" s="3">
        <v>15000</v>
      </c>
      <c r="H192" s="3" t="str">
        <f t="shared" si="2"/>
        <v>$_</v>
      </c>
      <c r="I192" t="s">
        <v>41</v>
      </c>
    </row>
    <row r="193" spans="1:9" x14ac:dyDescent="0.35">
      <c r="A193" s="2">
        <v>44378</v>
      </c>
      <c r="B193" t="s">
        <v>10</v>
      </c>
      <c r="C193" t="s">
        <v>11</v>
      </c>
      <c r="D193" t="s">
        <v>12</v>
      </c>
      <c r="E193" t="s">
        <v>8</v>
      </c>
      <c r="F193" s="3">
        <v>5215.2</v>
      </c>
      <c r="G193" s="3">
        <v>15000</v>
      </c>
      <c r="H193" s="3" t="str">
        <f t="shared" si="2"/>
        <v>$_</v>
      </c>
      <c r="I193" t="s">
        <v>41</v>
      </c>
    </row>
    <row r="194" spans="1:9" x14ac:dyDescent="0.35">
      <c r="A194" s="2">
        <v>44378</v>
      </c>
      <c r="B194" t="s">
        <v>14</v>
      </c>
      <c r="C194" t="s">
        <v>15</v>
      </c>
      <c r="D194" t="s">
        <v>16</v>
      </c>
      <c r="E194" t="s">
        <v>8</v>
      </c>
      <c r="F194" s="3">
        <v>7199.7000000000007</v>
      </c>
      <c r="G194" s="3">
        <v>15000</v>
      </c>
      <c r="H194" s="3" t="str">
        <f t="shared" ref="H194:H257" si="3">IF(F194&gt;=G194, F194*Commission, "$_")</f>
        <v>$_</v>
      </c>
      <c r="I194" t="s">
        <v>41</v>
      </c>
    </row>
    <row r="195" spans="1:9" x14ac:dyDescent="0.35">
      <c r="A195" s="2">
        <v>44378</v>
      </c>
      <c r="B195" t="s">
        <v>66</v>
      </c>
      <c r="C195" t="s">
        <v>67</v>
      </c>
      <c r="D195" t="s">
        <v>68</v>
      </c>
      <c r="E195" t="s">
        <v>8</v>
      </c>
      <c r="F195" s="3">
        <v>14670</v>
      </c>
      <c r="G195" s="3">
        <v>15000</v>
      </c>
      <c r="H195" s="3" t="str">
        <f t="shared" si="3"/>
        <v>$_</v>
      </c>
      <c r="I195" t="s">
        <v>9</v>
      </c>
    </row>
    <row r="196" spans="1:9" x14ac:dyDescent="0.35">
      <c r="A196" s="2">
        <v>44378</v>
      </c>
      <c r="B196" t="s">
        <v>5</v>
      </c>
      <c r="C196" t="s">
        <v>6</v>
      </c>
      <c r="D196" t="s">
        <v>7</v>
      </c>
      <c r="E196" t="s">
        <v>8</v>
      </c>
      <c r="F196" s="3">
        <v>16614.400000000001</v>
      </c>
      <c r="G196" s="3">
        <v>15000</v>
      </c>
      <c r="H196" s="3">
        <f t="shared" si="3"/>
        <v>1661.4400000000003</v>
      </c>
      <c r="I196" t="s">
        <v>9</v>
      </c>
    </row>
    <row r="197" spans="1:9" x14ac:dyDescent="0.35">
      <c r="A197" s="2">
        <v>44378</v>
      </c>
      <c r="B197" t="s">
        <v>66</v>
      </c>
      <c r="C197" t="s">
        <v>67</v>
      </c>
      <c r="D197" t="s">
        <v>68</v>
      </c>
      <c r="E197" t="s">
        <v>8</v>
      </c>
      <c r="F197" s="3">
        <v>20076.7</v>
      </c>
      <c r="G197" s="3">
        <v>15000</v>
      </c>
      <c r="H197" s="3">
        <f t="shared" si="3"/>
        <v>2007.67</v>
      </c>
      <c r="I197" t="s">
        <v>41</v>
      </c>
    </row>
    <row r="198" spans="1:9" x14ac:dyDescent="0.35">
      <c r="A198" s="2">
        <v>44378</v>
      </c>
      <c r="B198" t="s">
        <v>14</v>
      </c>
      <c r="C198" t="s">
        <v>15</v>
      </c>
      <c r="D198" t="s">
        <v>16</v>
      </c>
      <c r="E198" t="s">
        <v>8</v>
      </c>
      <c r="F198" s="3">
        <v>21482.999999999996</v>
      </c>
      <c r="G198" s="3">
        <v>15000</v>
      </c>
      <c r="H198" s="3">
        <f t="shared" si="3"/>
        <v>2148.2999999999997</v>
      </c>
      <c r="I198" t="s">
        <v>41</v>
      </c>
    </row>
    <row r="199" spans="1:9" x14ac:dyDescent="0.35">
      <c r="A199" s="2">
        <v>44378</v>
      </c>
      <c r="B199" t="s">
        <v>25</v>
      </c>
      <c r="C199" t="s">
        <v>26</v>
      </c>
      <c r="D199" t="s">
        <v>27</v>
      </c>
      <c r="E199" t="s">
        <v>8</v>
      </c>
      <c r="F199" s="3">
        <v>30776.799999999999</v>
      </c>
      <c r="G199" s="3">
        <v>15000</v>
      </c>
      <c r="H199" s="3">
        <f t="shared" si="3"/>
        <v>3077.6800000000003</v>
      </c>
      <c r="I199" t="s">
        <v>9</v>
      </c>
    </row>
    <row r="200" spans="1:9" x14ac:dyDescent="0.35">
      <c r="A200" s="2">
        <v>44378</v>
      </c>
      <c r="B200" t="s">
        <v>35</v>
      </c>
      <c r="C200" t="s">
        <v>36</v>
      </c>
      <c r="D200" t="s">
        <v>37</v>
      </c>
      <c r="E200" t="s">
        <v>20</v>
      </c>
      <c r="F200" s="3">
        <v>3465</v>
      </c>
      <c r="G200" s="3">
        <v>15000</v>
      </c>
      <c r="H200" s="3" t="str">
        <f t="shared" si="3"/>
        <v>$_</v>
      </c>
      <c r="I200" t="s">
        <v>13</v>
      </c>
    </row>
    <row r="201" spans="1:9" x14ac:dyDescent="0.35">
      <c r="A201" s="2">
        <v>44378</v>
      </c>
      <c r="B201" t="s">
        <v>51</v>
      </c>
      <c r="C201" t="s">
        <v>52</v>
      </c>
      <c r="D201" t="s">
        <v>53</v>
      </c>
      <c r="E201" t="s">
        <v>20</v>
      </c>
      <c r="F201" s="3">
        <v>5332.7999999999993</v>
      </c>
      <c r="G201" s="3">
        <v>15000</v>
      </c>
      <c r="H201" s="3" t="str">
        <f t="shared" si="3"/>
        <v>$_</v>
      </c>
      <c r="I201" t="s">
        <v>13</v>
      </c>
    </row>
    <row r="202" spans="1:9" x14ac:dyDescent="0.35">
      <c r="A202" s="2">
        <v>44378</v>
      </c>
      <c r="B202" t="s">
        <v>42</v>
      </c>
      <c r="C202" t="s">
        <v>43</v>
      </c>
      <c r="D202" t="s">
        <v>44</v>
      </c>
      <c r="E202" t="s">
        <v>20</v>
      </c>
      <c r="F202" s="3">
        <v>8065.5999999999995</v>
      </c>
      <c r="G202" s="3">
        <v>15000</v>
      </c>
      <c r="H202" s="3" t="str">
        <f t="shared" si="3"/>
        <v>$_</v>
      </c>
      <c r="I202" t="s">
        <v>41</v>
      </c>
    </row>
    <row r="203" spans="1:9" x14ac:dyDescent="0.35">
      <c r="A203" s="2">
        <v>44378</v>
      </c>
      <c r="B203" t="s">
        <v>42</v>
      </c>
      <c r="C203" t="s">
        <v>43</v>
      </c>
      <c r="D203" t="s">
        <v>44</v>
      </c>
      <c r="E203" t="s">
        <v>20</v>
      </c>
      <c r="F203" s="3">
        <v>10067.200000000001</v>
      </c>
      <c r="G203" s="3">
        <v>15000</v>
      </c>
      <c r="H203" s="3" t="str">
        <f t="shared" si="3"/>
        <v>$_</v>
      </c>
      <c r="I203" t="s">
        <v>41</v>
      </c>
    </row>
    <row r="204" spans="1:9" x14ac:dyDescent="0.35">
      <c r="A204" s="2">
        <v>44378</v>
      </c>
      <c r="B204" t="s">
        <v>42</v>
      </c>
      <c r="C204" t="s">
        <v>43</v>
      </c>
      <c r="D204" t="s">
        <v>44</v>
      </c>
      <c r="E204" t="s">
        <v>20</v>
      </c>
      <c r="F204" s="3">
        <v>10648.999999999998</v>
      </c>
      <c r="G204" s="3">
        <v>15000</v>
      </c>
      <c r="H204" s="3" t="str">
        <f t="shared" si="3"/>
        <v>$_</v>
      </c>
      <c r="I204" t="s">
        <v>41</v>
      </c>
    </row>
    <row r="205" spans="1:9" x14ac:dyDescent="0.35">
      <c r="A205" s="2">
        <v>44378</v>
      </c>
      <c r="B205" t="s">
        <v>51</v>
      </c>
      <c r="C205" t="s">
        <v>52</v>
      </c>
      <c r="D205" t="s">
        <v>53</v>
      </c>
      <c r="E205" t="s">
        <v>20</v>
      </c>
      <c r="F205" s="3">
        <v>10679.400000000001</v>
      </c>
      <c r="G205" s="3">
        <v>15000</v>
      </c>
      <c r="H205" s="3" t="str">
        <f t="shared" si="3"/>
        <v>$_</v>
      </c>
      <c r="I205" t="s">
        <v>41</v>
      </c>
    </row>
    <row r="206" spans="1:9" x14ac:dyDescent="0.35">
      <c r="A206" s="2">
        <v>44378</v>
      </c>
      <c r="B206" t="s">
        <v>63</v>
      </c>
      <c r="C206" t="s">
        <v>64</v>
      </c>
      <c r="D206" t="s">
        <v>65</v>
      </c>
      <c r="E206" t="s">
        <v>20</v>
      </c>
      <c r="F206" s="3">
        <v>11155.5</v>
      </c>
      <c r="G206" s="3">
        <v>15000</v>
      </c>
      <c r="H206" s="3" t="str">
        <f t="shared" si="3"/>
        <v>$_</v>
      </c>
      <c r="I206" t="s">
        <v>9</v>
      </c>
    </row>
    <row r="207" spans="1:9" x14ac:dyDescent="0.35">
      <c r="A207" s="2">
        <v>44378</v>
      </c>
      <c r="B207" t="s">
        <v>42</v>
      </c>
      <c r="C207" t="s">
        <v>43</v>
      </c>
      <c r="D207" t="s">
        <v>44</v>
      </c>
      <c r="E207" t="s">
        <v>20</v>
      </c>
      <c r="F207" s="3">
        <v>11543</v>
      </c>
      <c r="G207" s="3">
        <v>15000</v>
      </c>
      <c r="H207" s="3" t="str">
        <f t="shared" si="3"/>
        <v>$_</v>
      </c>
      <c r="I207" t="s">
        <v>9</v>
      </c>
    </row>
    <row r="208" spans="1:9" x14ac:dyDescent="0.35">
      <c r="A208" s="2">
        <v>44378</v>
      </c>
      <c r="B208" t="s">
        <v>42</v>
      </c>
      <c r="C208" t="s">
        <v>43</v>
      </c>
      <c r="D208" t="s">
        <v>44</v>
      </c>
      <c r="E208" t="s">
        <v>20</v>
      </c>
      <c r="F208" s="3">
        <v>15633.199999999999</v>
      </c>
      <c r="G208" s="3">
        <v>15000</v>
      </c>
      <c r="H208" s="3">
        <f t="shared" si="3"/>
        <v>1563.32</v>
      </c>
      <c r="I208" t="s">
        <v>13</v>
      </c>
    </row>
    <row r="209" spans="1:9" x14ac:dyDescent="0.35">
      <c r="A209" s="2">
        <v>44378</v>
      </c>
      <c r="B209" t="s">
        <v>42</v>
      </c>
      <c r="C209" t="s">
        <v>43</v>
      </c>
      <c r="D209" t="s">
        <v>44</v>
      </c>
      <c r="E209" t="s">
        <v>20</v>
      </c>
      <c r="F209" s="3">
        <v>20868.399999999998</v>
      </c>
      <c r="G209" s="3">
        <v>15000</v>
      </c>
      <c r="H209" s="3">
        <f t="shared" si="3"/>
        <v>2086.8399999999997</v>
      </c>
      <c r="I209" t="s">
        <v>13</v>
      </c>
    </row>
    <row r="210" spans="1:9" x14ac:dyDescent="0.35">
      <c r="A210" s="2">
        <v>44378</v>
      </c>
      <c r="B210" t="s">
        <v>42</v>
      </c>
      <c r="C210" t="s">
        <v>43</v>
      </c>
      <c r="D210" t="s">
        <v>44</v>
      </c>
      <c r="E210" t="s">
        <v>20</v>
      </c>
      <c r="F210" s="3">
        <v>24395.100000000002</v>
      </c>
      <c r="G210" s="3">
        <v>15000</v>
      </c>
      <c r="H210" s="3">
        <f t="shared" si="3"/>
        <v>2439.5100000000002</v>
      </c>
      <c r="I210" t="s">
        <v>9</v>
      </c>
    </row>
    <row r="211" spans="1:9" x14ac:dyDescent="0.35">
      <c r="A211" s="2">
        <v>44378</v>
      </c>
      <c r="B211" t="s">
        <v>57</v>
      </c>
      <c r="C211" t="s">
        <v>58</v>
      </c>
      <c r="D211" t="s">
        <v>59</v>
      </c>
      <c r="E211" t="s">
        <v>31</v>
      </c>
      <c r="F211" s="3">
        <v>15957.2</v>
      </c>
      <c r="G211" s="3">
        <v>15000</v>
      </c>
      <c r="H211" s="3">
        <f t="shared" si="3"/>
        <v>1595.7200000000003</v>
      </c>
      <c r="I211" t="s">
        <v>41</v>
      </c>
    </row>
    <row r="212" spans="1:9" x14ac:dyDescent="0.35">
      <c r="A212" s="2">
        <v>44378</v>
      </c>
      <c r="B212" t="s">
        <v>69</v>
      </c>
      <c r="C212" t="s">
        <v>70</v>
      </c>
      <c r="D212" t="s">
        <v>71</v>
      </c>
      <c r="E212" t="s">
        <v>31</v>
      </c>
      <c r="F212" s="3">
        <v>16492</v>
      </c>
      <c r="G212" s="3">
        <v>15000</v>
      </c>
      <c r="H212" s="3">
        <f t="shared" si="3"/>
        <v>1649.2</v>
      </c>
      <c r="I212" t="s">
        <v>9</v>
      </c>
    </row>
    <row r="213" spans="1:9" x14ac:dyDescent="0.35">
      <c r="A213" s="2">
        <v>44378</v>
      </c>
      <c r="B213" t="s">
        <v>60</v>
      </c>
      <c r="C213" t="s">
        <v>61</v>
      </c>
      <c r="D213" t="s">
        <v>62</v>
      </c>
      <c r="E213" t="s">
        <v>31</v>
      </c>
      <c r="F213" s="3">
        <v>21295.4</v>
      </c>
      <c r="G213" s="3">
        <v>15000</v>
      </c>
      <c r="H213" s="3">
        <f t="shared" si="3"/>
        <v>2129.5400000000004</v>
      </c>
      <c r="I213" t="s">
        <v>9</v>
      </c>
    </row>
    <row r="214" spans="1:9" x14ac:dyDescent="0.35">
      <c r="A214" s="2">
        <v>44378</v>
      </c>
      <c r="B214" t="s">
        <v>28</v>
      </c>
      <c r="C214" t="s">
        <v>29</v>
      </c>
      <c r="D214" t="s">
        <v>30</v>
      </c>
      <c r="E214" t="s">
        <v>31</v>
      </c>
      <c r="F214" s="3">
        <v>25518.800000000003</v>
      </c>
      <c r="G214" s="3">
        <v>15000</v>
      </c>
      <c r="H214" s="3">
        <f t="shared" si="3"/>
        <v>2551.8800000000006</v>
      </c>
      <c r="I214" t="s">
        <v>9</v>
      </c>
    </row>
    <row r="215" spans="1:9" x14ac:dyDescent="0.35">
      <c r="A215" s="2">
        <v>44378</v>
      </c>
      <c r="B215" t="s">
        <v>28</v>
      </c>
      <c r="C215" t="s">
        <v>29</v>
      </c>
      <c r="D215" t="s">
        <v>30</v>
      </c>
      <c r="E215" t="s">
        <v>31</v>
      </c>
      <c r="F215" s="3">
        <v>27676.6</v>
      </c>
      <c r="G215" s="3">
        <v>15000</v>
      </c>
      <c r="H215" s="3">
        <f t="shared" si="3"/>
        <v>2767.66</v>
      </c>
      <c r="I215" t="s">
        <v>13</v>
      </c>
    </row>
    <row r="216" spans="1:9" x14ac:dyDescent="0.35">
      <c r="A216" s="2">
        <v>44378</v>
      </c>
      <c r="B216" t="s">
        <v>60</v>
      </c>
      <c r="C216" t="s">
        <v>61</v>
      </c>
      <c r="D216" t="s">
        <v>62</v>
      </c>
      <c r="E216" t="s">
        <v>31</v>
      </c>
      <c r="F216" s="3">
        <v>28395</v>
      </c>
      <c r="G216" s="3">
        <v>15000</v>
      </c>
      <c r="H216" s="3">
        <f t="shared" si="3"/>
        <v>2839.5</v>
      </c>
      <c r="I216" t="s">
        <v>41</v>
      </c>
    </row>
    <row r="217" spans="1:9" x14ac:dyDescent="0.35">
      <c r="A217" s="2">
        <v>44378</v>
      </c>
      <c r="B217" t="s">
        <v>69</v>
      </c>
      <c r="C217" t="s">
        <v>70</v>
      </c>
      <c r="D217" t="s">
        <v>71</v>
      </c>
      <c r="E217" t="s">
        <v>31</v>
      </c>
      <c r="F217" s="3">
        <v>41826.400000000001</v>
      </c>
      <c r="G217" s="3">
        <v>15000</v>
      </c>
      <c r="H217" s="3">
        <f t="shared" si="3"/>
        <v>4182.6400000000003</v>
      </c>
      <c r="I217" t="s">
        <v>41</v>
      </c>
    </row>
    <row r="218" spans="1:9" x14ac:dyDescent="0.35">
      <c r="A218" s="2">
        <v>44378</v>
      </c>
      <c r="B218" t="s">
        <v>69</v>
      </c>
      <c r="C218" t="s">
        <v>70</v>
      </c>
      <c r="D218" t="s">
        <v>71</v>
      </c>
      <c r="E218" t="s">
        <v>31</v>
      </c>
      <c r="F218" s="3">
        <v>49055.999999999993</v>
      </c>
      <c r="G218" s="3">
        <v>15000</v>
      </c>
      <c r="H218" s="3">
        <f t="shared" si="3"/>
        <v>4905.5999999999995</v>
      </c>
      <c r="I218" t="s">
        <v>9</v>
      </c>
    </row>
    <row r="219" spans="1:9" x14ac:dyDescent="0.35">
      <c r="A219" s="2">
        <v>44378</v>
      </c>
      <c r="B219" t="s">
        <v>54</v>
      </c>
      <c r="C219" t="s">
        <v>55</v>
      </c>
      <c r="D219" t="s">
        <v>56</v>
      </c>
      <c r="E219" t="s">
        <v>24</v>
      </c>
      <c r="F219" s="3">
        <v>9405.2999999999993</v>
      </c>
      <c r="G219" s="3">
        <v>15000</v>
      </c>
      <c r="H219" s="3" t="str">
        <f t="shared" si="3"/>
        <v>$_</v>
      </c>
      <c r="I219" t="s">
        <v>13</v>
      </c>
    </row>
    <row r="220" spans="1:9" x14ac:dyDescent="0.35">
      <c r="A220" s="2">
        <v>44378</v>
      </c>
      <c r="B220" t="s">
        <v>45</v>
      </c>
      <c r="C220" t="s">
        <v>46</v>
      </c>
      <c r="D220" t="s">
        <v>47</v>
      </c>
      <c r="E220" t="s">
        <v>24</v>
      </c>
      <c r="F220" s="3">
        <v>9704.1999999999989</v>
      </c>
      <c r="G220" s="3">
        <v>15000</v>
      </c>
      <c r="H220" s="3" t="str">
        <f t="shared" si="3"/>
        <v>$_</v>
      </c>
      <c r="I220" t="s">
        <v>41</v>
      </c>
    </row>
    <row r="221" spans="1:9" x14ac:dyDescent="0.35">
      <c r="A221" s="2">
        <v>44378</v>
      </c>
      <c r="B221" t="s">
        <v>54</v>
      </c>
      <c r="C221" t="s">
        <v>55</v>
      </c>
      <c r="D221" t="s">
        <v>56</v>
      </c>
      <c r="E221" t="s">
        <v>24</v>
      </c>
      <c r="F221" s="3">
        <v>13674</v>
      </c>
      <c r="G221" s="3">
        <v>15000</v>
      </c>
      <c r="H221" s="3" t="str">
        <f t="shared" si="3"/>
        <v>$_</v>
      </c>
      <c r="I221" t="s">
        <v>13</v>
      </c>
    </row>
    <row r="222" spans="1:9" x14ac:dyDescent="0.35">
      <c r="A222" s="2">
        <v>44378</v>
      </c>
      <c r="B222" t="s">
        <v>32</v>
      </c>
      <c r="C222" t="s">
        <v>33</v>
      </c>
      <c r="D222" t="s">
        <v>34</v>
      </c>
      <c r="E222" t="s">
        <v>24</v>
      </c>
      <c r="F222" s="3">
        <v>21120.400000000001</v>
      </c>
      <c r="G222" s="3">
        <v>15000</v>
      </c>
      <c r="H222" s="3">
        <f t="shared" si="3"/>
        <v>2112.0400000000004</v>
      </c>
      <c r="I222" t="s">
        <v>13</v>
      </c>
    </row>
    <row r="223" spans="1:9" x14ac:dyDescent="0.35">
      <c r="A223" s="2">
        <v>44378</v>
      </c>
      <c r="B223" t="s">
        <v>32</v>
      </c>
      <c r="C223" t="s">
        <v>33</v>
      </c>
      <c r="D223" t="s">
        <v>34</v>
      </c>
      <c r="E223" t="s">
        <v>24</v>
      </c>
      <c r="F223" s="3">
        <v>23997.600000000002</v>
      </c>
      <c r="G223" s="3">
        <v>15000</v>
      </c>
      <c r="H223" s="3">
        <f t="shared" si="3"/>
        <v>2399.7600000000002</v>
      </c>
      <c r="I223" t="s">
        <v>9</v>
      </c>
    </row>
    <row r="224" spans="1:9" x14ac:dyDescent="0.35">
      <c r="A224" s="2">
        <v>44378</v>
      </c>
      <c r="B224" t="s">
        <v>32</v>
      </c>
      <c r="C224" t="s">
        <v>33</v>
      </c>
      <c r="D224" t="s">
        <v>34</v>
      </c>
      <c r="E224" t="s">
        <v>24</v>
      </c>
      <c r="F224" s="3">
        <v>35715.4</v>
      </c>
      <c r="G224" s="3">
        <v>15000</v>
      </c>
      <c r="H224" s="3">
        <f t="shared" si="3"/>
        <v>3571.5400000000004</v>
      </c>
      <c r="I224" t="s">
        <v>41</v>
      </c>
    </row>
    <row r="225" spans="1:9" x14ac:dyDescent="0.35">
      <c r="A225" s="2">
        <v>44409</v>
      </c>
      <c r="B225" t="s">
        <v>66</v>
      </c>
      <c r="C225" t="s">
        <v>67</v>
      </c>
      <c r="D225" t="s">
        <v>68</v>
      </c>
      <c r="E225" t="s">
        <v>8</v>
      </c>
      <c r="F225" s="3">
        <v>8625</v>
      </c>
      <c r="G225" s="3">
        <v>15000</v>
      </c>
      <c r="H225" s="3" t="str">
        <f t="shared" si="3"/>
        <v>$_</v>
      </c>
      <c r="I225" t="s">
        <v>13</v>
      </c>
    </row>
    <row r="226" spans="1:9" x14ac:dyDescent="0.35">
      <c r="A226" s="2">
        <v>44409</v>
      </c>
      <c r="B226" t="s">
        <v>14</v>
      </c>
      <c r="C226" t="s">
        <v>15</v>
      </c>
      <c r="D226" t="s">
        <v>16</v>
      </c>
      <c r="E226" t="s">
        <v>8</v>
      </c>
      <c r="F226" s="3">
        <v>9794</v>
      </c>
      <c r="G226" s="3">
        <v>15000</v>
      </c>
      <c r="H226" s="3" t="str">
        <f t="shared" si="3"/>
        <v>$_</v>
      </c>
      <c r="I226" t="s">
        <v>13</v>
      </c>
    </row>
    <row r="227" spans="1:9" x14ac:dyDescent="0.35">
      <c r="A227" s="2">
        <v>44409</v>
      </c>
      <c r="B227" t="s">
        <v>66</v>
      </c>
      <c r="C227" t="s">
        <v>67</v>
      </c>
      <c r="D227" t="s">
        <v>68</v>
      </c>
      <c r="E227" t="s">
        <v>8</v>
      </c>
      <c r="F227" s="3">
        <v>16321.6</v>
      </c>
      <c r="G227" s="3">
        <v>15000</v>
      </c>
      <c r="H227" s="3">
        <f t="shared" si="3"/>
        <v>1632.16</v>
      </c>
      <c r="I227" t="s">
        <v>9</v>
      </c>
    </row>
    <row r="228" spans="1:9" x14ac:dyDescent="0.35">
      <c r="A228" s="2">
        <v>44409</v>
      </c>
      <c r="B228" t="s">
        <v>14</v>
      </c>
      <c r="C228" t="s">
        <v>15</v>
      </c>
      <c r="D228" t="s">
        <v>16</v>
      </c>
      <c r="E228" t="s">
        <v>8</v>
      </c>
      <c r="F228" s="3">
        <v>19678.8</v>
      </c>
      <c r="G228" s="3">
        <v>15000</v>
      </c>
      <c r="H228" s="3">
        <f t="shared" si="3"/>
        <v>1967.88</v>
      </c>
      <c r="I228" t="s">
        <v>13</v>
      </c>
    </row>
    <row r="229" spans="1:9" x14ac:dyDescent="0.35">
      <c r="A229" s="2">
        <v>44409</v>
      </c>
      <c r="B229" t="s">
        <v>66</v>
      </c>
      <c r="C229" t="s">
        <v>67</v>
      </c>
      <c r="D229" t="s">
        <v>68</v>
      </c>
      <c r="E229" t="s">
        <v>8</v>
      </c>
      <c r="F229" s="3">
        <v>33694.800000000003</v>
      </c>
      <c r="G229" s="3">
        <v>15000</v>
      </c>
      <c r="H229" s="3">
        <f t="shared" si="3"/>
        <v>3369.4800000000005</v>
      </c>
      <c r="I229" t="s">
        <v>13</v>
      </c>
    </row>
    <row r="230" spans="1:9" x14ac:dyDescent="0.35">
      <c r="A230" s="2">
        <v>44409</v>
      </c>
      <c r="B230" t="s">
        <v>10</v>
      </c>
      <c r="C230" t="s">
        <v>11</v>
      </c>
      <c r="D230" t="s">
        <v>12</v>
      </c>
      <c r="E230" t="s">
        <v>8</v>
      </c>
      <c r="F230" s="3">
        <v>39236</v>
      </c>
      <c r="G230" s="3">
        <v>15000</v>
      </c>
      <c r="H230" s="3">
        <f t="shared" si="3"/>
        <v>3923.6000000000004</v>
      </c>
      <c r="I230" t="s">
        <v>41</v>
      </c>
    </row>
    <row r="231" spans="1:9" x14ac:dyDescent="0.35">
      <c r="A231" s="2">
        <v>44409</v>
      </c>
      <c r="B231" t="s">
        <v>14</v>
      </c>
      <c r="C231" t="s">
        <v>15</v>
      </c>
      <c r="D231" t="s">
        <v>16</v>
      </c>
      <c r="E231" t="s">
        <v>8</v>
      </c>
      <c r="F231" s="3">
        <v>43088.2</v>
      </c>
      <c r="G231" s="3">
        <v>15000</v>
      </c>
      <c r="H231" s="3">
        <f t="shared" si="3"/>
        <v>4308.82</v>
      </c>
      <c r="I231" t="s">
        <v>9</v>
      </c>
    </row>
    <row r="232" spans="1:9" x14ac:dyDescent="0.35">
      <c r="A232" s="2">
        <v>44409</v>
      </c>
      <c r="B232" t="s">
        <v>42</v>
      </c>
      <c r="C232" t="s">
        <v>43</v>
      </c>
      <c r="D232" t="s">
        <v>44</v>
      </c>
      <c r="E232" t="s">
        <v>20</v>
      </c>
      <c r="F232" s="3">
        <v>3760.5</v>
      </c>
      <c r="G232" s="3">
        <v>15000</v>
      </c>
      <c r="H232" s="3" t="str">
        <f t="shared" si="3"/>
        <v>$_</v>
      </c>
      <c r="I232" t="s">
        <v>9</v>
      </c>
    </row>
    <row r="233" spans="1:9" x14ac:dyDescent="0.35">
      <c r="A233" s="2">
        <v>44409</v>
      </c>
      <c r="B233" t="s">
        <v>42</v>
      </c>
      <c r="C233" t="s">
        <v>43</v>
      </c>
      <c r="D233" t="s">
        <v>44</v>
      </c>
      <c r="E233" t="s">
        <v>20</v>
      </c>
      <c r="F233" s="3">
        <v>4322.8</v>
      </c>
      <c r="G233" s="3">
        <v>15000</v>
      </c>
      <c r="H233" s="3" t="str">
        <f t="shared" si="3"/>
        <v>$_</v>
      </c>
      <c r="I233" t="s">
        <v>41</v>
      </c>
    </row>
    <row r="234" spans="1:9" x14ac:dyDescent="0.35">
      <c r="A234" s="2">
        <v>44409</v>
      </c>
      <c r="B234" t="s">
        <v>42</v>
      </c>
      <c r="C234" t="s">
        <v>43</v>
      </c>
      <c r="D234" t="s">
        <v>44</v>
      </c>
      <c r="E234" t="s">
        <v>20</v>
      </c>
      <c r="F234" s="3">
        <v>9697.6</v>
      </c>
      <c r="G234" s="3">
        <v>15000</v>
      </c>
      <c r="H234" s="3" t="str">
        <f t="shared" si="3"/>
        <v>$_</v>
      </c>
      <c r="I234" t="s">
        <v>13</v>
      </c>
    </row>
    <row r="235" spans="1:9" x14ac:dyDescent="0.35">
      <c r="A235" s="2">
        <v>44409</v>
      </c>
      <c r="B235" t="s">
        <v>42</v>
      </c>
      <c r="C235" t="s">
        <v>43</v>
      </c>
      <c r="D235" t="s">
        <v>44</v>
      </c>
      <c r="E235" t="s">
        <v>20</v>
      </c>
      <c r="F235" s="3">
        <v>10391.699999999999</v>
      </c>
      <c r="G235" s="3">
        <v>15000</v>
      </c>
      <c r="H235" s="3" t="str">
        <f t="shared" si="3"/>
        <v>$_</v>
      </c>
      <c r="I235" t="s">
        <v>41</v>
      </c>
    </row>
    <row r="236" spans="1:9" x14ac:dyDescent="0.35">
      <c r="A236" s="2">
        <v>44409</v>
      </c>
      <c r="B236" t="s">
        <v>63</v>
      </c>
      <c r="C236" t="s">
        <v>64</v>
      </c>
      <c r="D236" t="s">
        <v>65</v>
      </c>
      <c r="E236" t="s">
        <v>20</v>
      </c>
      <c r="F236" s="3">
        <v>15670.2</v>
      </c>
      <c r="G236" s="3">
        <v>15000</v>
      </c>
      <c r="H236" s="3">
        <f t="shared" si="3"/>
        <v>1567.0200000000002</v>
      </c>
      <c r="I236" t="s">
        <v>41</v>
      </c>
    </row>
    <row r="237" spans="1:9" x14ac:dyDescent="0.35">
      <c r="A237" s="2">
        <v>44409</v>
      </c>
      <c r="B237" t="s">
        <v>51</v>
      </c>
      <c r="C237" t="s">
        <v>52</v>
      </c>
      <c r="D237" t="s">
        <v>53</v>
      </c>
      <c r="E237" t="s">
        <v>20</v>
      </c>
      <c r="F237" s="3">
        <v>22477.9</v>
      </c>
      <c r="G237" s="3">
        <v>15000</v>
      </c>
      <c r="H237" s="3">
        <f t="shared" si="3"/>
        <v>2247.7900000000004</v>
      </c>
      <c r="I237" t="s">
        <v>13</v>
      </c>
    </row>
    <row r="238" spans="1:9" x14ac:dyDescent="0.35">
      <c r="A238" s="2">
        <v>44409</v>
      </c>
      <c r="B238" t="s">
        <v>51</v>
      </c>
      <c r="C238" t="s">
        <v>52</v>
      </c>
      <c r="D238" t="s">
        <v>53</v>
      </c>
      <c r="E238" t="s">
        <v>20</v>
      </c>
      <c r="F238" s="3">
        <v>36088.1</v>
      </c>
      <c r="G238" s="3">
        <v>15000</v>
      </c>
      <c r="H238" s="3">
        <f t="shared" si="3"/>
        <v>3608.81</v>
      </c>
      <c r="I238" t="s">
        <v>41</v>
      </c>
    </row>
    <row r="239" spans="1:9" x14ac:dyDescent="0.35">
      <c r="A239" s="2">
        <v>44409</v>
      </c>
      <c r="B239" t="s">
        <v>17</v>
      </c>
      <c r="C239" t="s">
        <v>18</v>
      </c>
      <c r="D239" t="s">
        <v>19</v>
      </c>
      <c r="E239" t="s">
        <v>20</v>
      </c>
      <c r="F239" s="3">
        <v>43388.100000000006</v>
      </c>
      <c r="G239" s="3">
        <v>15000</v>
      </c>
      <c r="H239" s="3">
        <f t="shared" si="3"/>
        <v>4338.8100000000004</v>
      </c>
      <c r="I239" t="s">
        <v>13</v>
      </c>
    </row>
    <row r="240" spans="1:9" x14ac:dyDescent="0.35">
      <c r="A240" s="2">
        <v>44409</v>
      </c>
      <c r="B240" t="s">
        <v>28</v>
      </c>
      <c r="C240" t="s">
        <v>29</v>
      </c>
      <c r="D240" t="s">
        <v>30</v>
      </c>
      <c r="E240" t="s">
        <v>31</v>
      </c>
      <c r="F240" s="3">
        <v>6201</v>
      </c>
      <c r="G240" s="3">
        <v>15000</v>
      </c>
      <c r="H240" s="3" t="str">
        <f t="shared" si="3"/>
        <v>$_</v>
      </c>
      <c r="I240" t="s">
        <v>41</v>
      </c>
    </row>
    <row r="241" spans="1:9" x14ac:dyDescent="0.35">
      <c r="A241" s="2">
        <v>44409</v>
      </c>
      <c r="B241" t="s">
        <v>57</v>
      </c>
      <c r="C241" t="s">
        <v>58</v>
      </c>
      <c r="D241" t="s">
        <v>59</v>
      </c>
      <c r="E241" t="s">
        <v>31</v>
      </c>
      <c r="F241" s="3">
        <v>6311.4</v>
      </c>
      <c r="G241" s="3">
        <v>15000</v>
      </c>
      <c r="H241" s="3" t="str">
        <f t="shared" si="3"/>
        <v>$_</v>
      </c>
      <c r="I241" t="s">
        <v>41</v>
      </c>
    </row>
    <row r="242" spans="1:9" x14ac:dyDescent="0.35">
      <c r="A242" s="2">
        <v>44409</v>
      </c>
      <c r="B242" t="s">
        <v>38</v>
      </c>
      <c r="C242" t="s">
        <v>39</v>
      </c>
      <c r="D242" t="s">
        <v>40</v>
      </c>
      <c r="E242" t="s">
        <v>31</v>
      </c>
      <c r="F242" s="3">
        <v>7289.6</v>
      </c>
      <c r="G242" s="3">
        <v>15000</v>
      </c>
      <c r="H242" s="3" t="str">
        <f t="shared" si="3"/>
        <v>$_</v>
      </c>
      <c r="I242" t="s">
        <v>9</v>
      </c>
    </row>
    <row r="243" spans="1:9" x14ac:dyDescent="0.35">
      <c r="A243" s="2">
        <v>44409</v>
      </c>
      <c r="B243" t="s">
        <v>38</v>
      </c>
      <c r="C243" t="s">
        <v>39</v>
      </c>
      <c r="D243" t="s">
        <v>40</v>
      </c>
      <c r="E243" t="s">
        <v>31</v>
      </c>
      <c r="F243" s="3">
        <v>8322.4</v>
      </c>
      <c r="G243" s="3">
        <v>15000</v>
      </c>
      <c r="H243" s="3" t="str">
        <f t="shared" si="3"/>
        <v>$_</v>
      </c>
      <c r="I243" t="s">
        <v>9</v>
      </c>
    </row>
    <row r="244" spans="1:9" x14ac:dyDescent="0.35">
      <c r="A244" s="2">
        <v>44409</v>
      </c>
      <c r="B244" t="s">
        <v>60</v>
      </c>
      <c r="C244" t="s">
        <v>61</v>
      </c>
      <c r="D244" t="s">
        <v>62</v>
      </c>
      <c r="E244" t="s">
        <v>31</v>
      </c>
      <c r="F244" s="3">
        <v>8501.9000000000015</v>
      </c>
      <c r="G244" s="3">
        <v>15000</v>
      </c>
      <c r="H244" s="3" t="str">
        <f t="shared" si="3"/>
        <v>$_</v>
      </c>
      <c r="I244" t="s">
        <v>13</v>
      </c>
    </row>
    <row r="245" spans="1:9" x14ac:dyDescent="0.35">
      <c r="A245" s="2">
        <v>44409</v>
      </c>
      <c r="B245" t="s">
        <v>28</v>
      </c>
      <c r="C245" t="s">
        <v>29</v>
      </c>
      <c r="D245" t="s">
        <v>30</v>
      </c>
      <c r="E245" t="s">
        <v>31</v>
      </c>
      <c r="F245" s="3">
        <v>9708.2999999999993</v>
      </c>
      <c r="G245" s="3">
        <v>15000</v>
      </c>
      <c r="H245" s="3" t="str">
        <f t="shared" si="3"/>
        <v>$_</v>
      </c>
      <c r="I245" t="s">
        <v>13</v>
      </c>
    </row>
    <row r="246" spans="1:9" x14ac:dyDescent="0.35">
      <c r="A246" s="2">
        <v>44409</v>
      </c>
      <c r="B246" t="s">
        <v>38</v>
      </c>
      <c r="C246" t="s">
        <v>39</v>
      </c>
      <c r="D246" t="s">
        <v>40</v>
      </c>
      <c r="E246" t="s">
        <v>31</v>
      </c>
      <c r="F246" s="3">
        <v>12944.399999999998</v>
      </c>
      <c r="G246" s="3">
        <v>15000</v>
      </c>
      <c r="H246" s="3" t="str">
        <f t="shared" si="3"/>
        <v>$_</v>
      </c>
      <c r="I246" t="s">
        <v>13</v>
      </c>
    </row>
    <row r="247" spans="1:9" x14ac:dyDescent="0.35">
      <c r="A247" s="2">
        <v>44409</v>
      </c>
      <c r="B247" t="s">
        <v>28</v>
      </c>
      <c r="C247" t="s">
        <v>29</v>
      </c>
      <c r="D247" t="s">
        <v>30</v>
      </c>
      <c r="E247" t="s">
        <v>31</v>
      </c>
      <c r="F247" s="3">
        <v>14248</v>
      </c>
      <c r="G247" s="3">
        <v>15000</v>
      </c>
      <c r="H247" s="3" t="str">
        <f t="shared" si="3"/>
        <v>$_</v>
      </c>
      <c r="I247" t="s">
        <v>13</v>
      </c>
    </row>
    <row r="248" spans="1:9" x14ac:dyDescent="0.35">
      <c r="A248" s="2">
        <v>44409</v>
      </c>
      <c r="B248" t="s">
        <v>38</v>
      </c>
      <c r="C248" t="s">
        <v>39</v>
      </c>
      <c r="D248" t="s">
        <v>40</v>
      </c>
      <c r="E248" t="s">
        <v>31</v>
      </c>
      <c r="F248" s="3">
        <v>18298.399999999998</v>
      </c>
      <c r="G248" s="3">
        <v>15000</v>
      </c>
      <c r="H248" s="3">
        <f t="shared" si="3"/>
        <v>1829.84</v>
      </c>
      <c r="I248" t="s">
        <v>41</v>
      </c>
    </row>
    <row r="249" spans="1:9" x14ac:dyDescent="0.35">
      <c r="A249" s="2">
        <v>44409</v>
      </c>
      <c r="B249" t="s">
        <v>38</v>
      </c>
      <c r="C249" t="s">
        <v>39</v>
      </c>
      <c r="D249" t="s">
        <v>40</v>
      </c>
      <c r="E249" t="s">
        <v>31</v>
      </c>
      <c r="F249" s="3">
        <v>18838.399999999998</v>
      </c>
      <c r="G249" s="3">
        <v>15000</v>
      </c>
      <c r="H249" s="3">
        <f t="shared" si="3"/>
        <v>1883.84</v>
      </c>
      <c r="I249" t="s">
        <v>41</v>
      </c>
    </row>
    <row r="250" spans="1:9" x14ac:dyDescent="0.35">
      <c r="A250" s="2">
        <v>44409</v>
      </c>
      <c r="B250" t="s">
        <v>69</v>
      </c>
      <c r="C250" t="s">
        <v>70</v>
      </c>
      <c r="D250" t="s">
        <v>71</v>
      </c>
      <c r="E250" t="s">
        <v>31</v>
      </c>
      <c r="F250" s="3">
        <v>24469.599999999999</v>
      </c>
      <c r="G250" s="3">
        <v>15000</v>
      </c>
      <c r="H250" s="3">
        <f t="shared" si="3"/>
        <v>2446.96</v>
      </c>
      <c r="I250" t="s">
        <v>13</v>
      </c>
    </row>
    <row r="251" spans="1:9" x14ac:dyDescent="0.35">
      <c r="A251" s="2">
        <v>44409</v>
      </c>
      <c r="B251" t="s">
        <v>69</v>
      </c>
      <c r="C251" t="s">
        <v>70</v>
      </c>
      <c r="D251" t="s">
        <v>71</v>
      </c>
      <c r="E251" t="s">
        <v>31</v>
      </c>
      <c r="F251" s="3">
        <v>31053.4</v>
      </c>
      <c r="G251" s="3">
        <v>15000</v>
      </c>
      <c r="H251" s="3">
        <f t="shared" si="3"/>
        <v>3105.34</v>
      </c>
      <c r="I251" t="s">
        <v>9</v>
      </c>
    </row>
    <row r="252" spans="1:9" x14ac:dyDescent="0.35">
      <c r="A252" s="2">
        <v>44409</v>
      </c>
      <c r="B252" t="s">
        <v>32</v>
      </c>
      <c r="C252" t="s">
        <v>33</v>
      </c>
      <c r="D252" t="s">
        <v>34</v>
      </c>
      <c r="E252" t="s">
        <v>24</v>
      </c>
      <c r="F252" s="3">
        <v>3386.6000000000004</v>
      </c>
      <c r="G252" s="3">
        <v>15000</v>
      </c>
      <c r="H252" s="3" t="str">
        <f t="shared" si="3"/>
        <v>$_</v>
      </c>
      <c r="I252" t="s">
        <v>13</v>
      </c>
    </row>
    <row r="253" spans="1:9" x14ac:dyDescent="0.35">
      <c r="A253" s="2">
        <v>44409</v>
      </c>
      <c r="B253" t="s">
        <v>45</v>
      </c>
      <c r="C253" t="s">
        <v>46</v>
      </c>
      <c r="D253" t="s">
        <v>47</v>
      </c>
      <c r="E253" t="s">
        <v>24</v>
      </c>
      <c r="F253" s="3">
        <v>4028</v>
      </c>
      <c r="G253" s="3">
        <v>15000</v>
      </c>
      <c r="H253" s="3" t="str">
        <f t="shared" si="3"/>
        <v>$_</v>
      </c>
      <c r="I253" t="s">
        <v>9</v>
      </c>
    </row>
    <row r="254" spans="1:9" x14ac:dyDescent="0.35">
      <c r="A254" s="2">
        <v>44409</v>
      </c>
      <c r="B254" t="s">
        <v>21</v>
      </c>
      <c r="C254" t="s">
        <v>22</v>
      </c>
      <c r="D254" t="s">
        <v>23</v>
      </c>
      <c r="E254" t="s">
        <v>24</v>
      </c>
      <c r="F254" s="3">
        <v>5532.7999999999993</v>
      </c>
      <c r="G254" s="3">
        <v>15000</v>
      </c>
      <c r="H254" s="3" t="str">
        <f t="shared" si="3"/>
        <v>$_</v>
      </c>
      <c r="I254" t="s">
        <v>13</v>
      </c>
    </row>
    <row r="255" spans="1:9" x14ac:dyDescent="0.35">
      <c r="A255" s="2">
        <v>44409</v>
      </c>
      <c r="B255" t="s">
        <v>32</v>
      </c>
      <c r="C255" t="s">
        <v>33</v>
      </c>
      <c r="D255" t="s">
        <v>34</v>
      </c>
      <c r="E255" t="s">
        <v>24</v>
      </c>
      <c r="F255" s="3">
        <v>10200</v>
      </c>
      <c r="G255" s="3">
        <v>15000</v>
      </c>
      <c r="H255" s="3" t="str">
        <f t="shared" si="3"/>
        <v>$_</v>
      </c>
      <c r="I255" t="s">
        <v>41</v>
      </c>
    </row>
    <row r="256" spans="1:9" x14ac:dyDescent="0.35">
      <c r="A256" s="2">
        <v>44409</v>
      </c>
      <c r="B256" t="s">
        <v>21</v>
      </c>
      <c r="C256" t="s">
        <v>22</v>
      </c>
      <c r="D256" t="s">
        <v>23</v>
      </c>
      <c r="E256" t="s">
        <v>24</v>
      </c>
      <c r="F256" s="3">
        <v>13923</v>
      </c>
      <c r="G256" s="3">
        <v>15000</v>
      </c>
      <c r="H256" s="3" t="str">
        <f t="shared" si="3"/>
        <v>$_</v>
      </c>
      <c r="I256" t="s">
        <v>41</v>
      </c>
    </row>
    <row r="257" spans="1:9" x14ac:dyDescent="0.35">
      <c r="A257" s="2">
        <v>44409</v>
      </c>
      <c r="B257" t="s">
        <v>45</v>
      </c>
      <c r="C257" t="s">
        <v>46</v>
      </c>
      <c r="D257" t="s">
        <v>47</v>
      </c>
      <c r="E257" t="s">
        <v>24</v>
      </c>
      <c r="F257" s="3">
        <v>17593.399999999998</v>
      </c>
      <c r="G257" s="3">
        <v>15000</v>
      </c>
      <c r="H257" s="3">
        <f t="shared" si="3"/>
        <v>1759.34</v>
      </c>
      <c r="I257" t="s">
        <v>13</v>
      </c>
    </row>
    <row r="258" spans="1:9" x14ac:dyDescent="0.35">
      <c r="A258" s="2">
        <v>44409</v>
      </c>
      <c r="B258" t="s">
        <v>54</v>
      </c>
      <c r="C258" t="s">
        <v>55</v>
      </c>
      <c r="D258" t="s">
        <v>56</v>
      </c>
      <c r="E258" t="s">
        <v>24</v>
      </c>
      <c r="F258" s="3">
        <v>17666</v>
      </c>
      <c r="G258" s="3">
        <v>15000</v>
      </c>
      <c r="H258" s="3">
        <f t="shared" ref="H258:H321" si="4">IF(F258&gt;=G258, F258*Commission, "$_")</f>
        <v>1766.6000000000001</v>
      </c>
      <c r="I258" t="s">
        <v>9</v>
      </c>
    </row>
    <row r="259" spans="1:9" x14ac:dyDescent="0.35">
      <c r="A259" s="2">
        <v>44409</v>
      </c>
      <c r="B259" t="s">
        <v>32</v>
      </c>
      <c r="C259" t="s">
        <v>33</v>
      </c>
      <c r="D259" t="s">
        <v>34</v>
      </c>
      <c r="E259" t="s">
        <v>24</v>
      </c>
      <c r="F259" s="3">
        <v>21420</v>
      </c>
      <c r="G259" s="3">
        <v>15000</v>
      </c>
      <c r="H259" s="3">
        <f t="shared" si="4"/>
        <v>2142</v>
      </c>
      <c r="I259" t="s">
        <v>41</v>
      </c>
    </row>
    <row r="260" spans="1:9" x14ac:dyDescent="0.35">
      <c r="A260" s="2">
        <v>44409</v>
      </c>
      <c r="B260" t="s">
        <v>21</v>
      </c>
      <c r="C260" t="s">
        <v>22</v>
      </c>
      <c r="D260" t="s">
        <v>23</v>
      </c>
      <c r="E260" t="s">
        <v>24</v>
      </c>
      <c r="F260" s="3">
        <v>24080</v>
      </c>
      <c r="G260" s="3">
        <v>15000</v>
      </c>
      <c r="H260" s="3">
        <f t="shared" si="4"/>
        <v>2408</v>
      </c>
      <c r="I260" t="s">
        <v>9</v>
      </c>
    </row>
    <row r="261" spans="1:9" x14ac:dyDescent="0.35">
      <c r="A261" s="2">
        <v>44409</v>
      </c>
      <c r="B261" t="s">
        <v>45</v>
      </c>
      <c r="C261" t="s">
        <v>46</v>
      </c>
      <c r="D261" t="s">
        <v>47</v>
      </c>
      <c r="E261" t="s">
        <v>24</v>
      </c>
      <c r="F261" s="3">
        <v>27531</v>
      </c>
      <c r="G261" s="3">
        <v>15000</v>
      </c>
      <c r="H261" s="3">
        <f t="shared" si="4"/>
        <v>2753.1000000000004</v>
      </c>
      <c r="I261" t="s">
        <v>41</v>
      </c>
    </row>
    <row r="262" spans="1:9" x14ac:dyDescent="0.35">
      <c r="A262" s="2">
        <v>44409</v>
      </c>
      <c r="B262" t="s">
        <v>54</v>
      </c>
      <c r="C262" t="s">
        <v>55</v>
      </c>
      <c r="D262" t="s">
        <v>56</v>
      </c>
      <c r="E262" t="s">
        <v>24</v>
      </c>
      <c r="F262" s="3">
        <v>32795.700000000004</v>
      </c>
      <c r="G262" s="3">
        <v>15000</v>
      </c>
      <c r="H262" s="3">
        <f t="shared" si="4"/>
        <v>3279.5700000000006</v>
      </c>
      <c r="I262" t="s">
        <v>13</v>
      </c>
    </row>
    <row r="263" spans="1:9" x14ac:dyDescent="0.35">
      <c r="A263" s="2">
        <v>44440</v>
      </c>
      <c r="B263" t="s">
        <v>5</v>
      </c>
      <c r="C263" t="s">
        <v>6</v>
      </c>
      <c r="D263" t="s">
        <v>7</v>
      </c>
      <c r="E263" t="s">
        <v>8</v>
      </c>
      <c r="F263" s="3">
        <v>5572.3</v>
      </c>
      <c r="G263" s="3">
        <v>15000</v>
      </c>
      <c r="H263" s="3" t="str">
        <f t="shared" si="4"/>
        <v>$_</v>
      </c>
      <c r="I263" t="s">
        <v>9</v>
      </c>
    </row>
    <row r="264" spans="1:9" x14ac:dyDescent="0.35">
      <c r="A264" s="2">
        <v>44440</v>
      </c>
      <c r="B264" t="s">
        <v>14</v>
      </c>
      <c r="C264" t="s">
        <v>15</v>
      </c>
      <c r="D264" t="s">
        <v>16</v>
      </c>
      <c r="E264" t="s">
        <v>8</v>
      </c>
      <c r="F264" s="3">
        <v>7496.9999999999991</v>
      </c>
      <c r="G264" s="3">
        <v>15000</v>
      </c>
      <c r="H264" s="3" t="str">
        <f t="shared" si="4"/>
        <v>$_</v>
      </c>
      <c r="I264" t="s">
        <v>13</v>
      </c>
    </row>
    <row r="265" spans="1:9" x14ac:dyDescent="0.35">
      <c r="A265" s="2">
        <v>44440</v>
      </c>
      <c r="B265" t="s">
        <v>10</v>
      </c>
      <c r="C265" t="s">
        <v>11</v>
      </c>
      <c r="D265" t="s">
        <v>12</v>
      </c>
      <c r="E265" t="s">
        <v>8</v>
      </c>
      <c r="F265" s="3">
        <v>9651.1999999999989</v>
      </c>
      <c r="G265" s="3">
        <v>15000</v>
      </c>
      <c r="H265" s="3" t="str">
        <f t="shared" si="4"/>
        <v>$_</v>
      </c>
      <c r="I265" t="s">
        <v>9</v>
      </c>
    </row>
    <row r="266" spans="1:9" x14ac:dyDescent="0.35">
      <c r="A266" s="2">
        <v>44440</v>
      </c>
      <c r="B266" t="s">
        <v>5</v>
      </c>
      <c r="C266" t="s">
        <v>6</v>
      </c>
      <c r="D266" t="s">
        <v>7</v>
      </c>
      <c r="E266" t="s">
        <v>8</v>
      </c>
      <c r="F266" s="3">
        <v>10492.199999999997</v>
      </c>
      <c r="G266" s="3">
        <v>15000</v>
      </c>
      <c r="H266" s="3" t="str">
        <f t="shared" si="4"/>
        <v>$_</v>
      </c>
      <c r="I266" t="s">
        <v>41</v>
      </c>
    </row>
    <row r="267" spans="1:9" x14ac:dyDescent="0.35">
      <c r="A267" s="2">
        <v>44440</v>
      </c>
      <c r="B267" t="s">
        <v>5</v>
      </c>
      <c r="C267" t="s">
        <v>6</v>
      </c>
      <c r="D267" t="s">
        <v>7</v>
      </c>
      <c r="E267" t="s">
        <v>8</v>
      </c>
      <c r="F267" s="3">
        <v>18396.7</v>
      </c>
      <c r="G267" s="3">
        <v>15000</v>
      </c>
      <c r="H267" s="3">
        <f t="shared" si="4"/>
        <v>1839.67</v>
      </c>
      <c r="I267" t="s">
        <v>9</v>
      </c>
    </row>
    <row r="268" spans="1:9" x14ac:dyDescent="0.35">
      <c r="A268" s="2">
        <v>44440</v>
      </c>
      <c r="B268" t="s">
        <v>10</v>
      </c>
      <c r="C268" t="s">
        <v>11</v>
      </c>
      <c r="D268" t="s">
        <v>12</v>
      </c>
      <c r="E268" t="s">
        <v>8</v>
      </c>
      <c r="F268" s="3">
        <v>23849.599999999999</v>
      </c>
      <c r="G268" s="3">
        <v>15000</v>
      </c>
      <c r="H268" s="3">
        <f t="shared" si="4"/>
        <v>2384.96</v>
      </c>
      <c r="I268" t="s">
        <v>9</v>
      </c>
    </row>
    <row r="269" spans="1:9" x14ac:dyDescent="0.35">
      <c r="A269" s="2">
        <v>44440</v>
      </c>
      <c r="B269" t="s">
        <v>66</v>
      </c>
      <c r="C269" t="s">
        <v>67</v>
      </c>
      <c r="D269" t="s">
        <v>68</v>
      </c>
      <c r="E269" t="s">
        <v>8</v>
      </c>
      <c r="F269" s="3">
        <v>23882.399999999998</v>
      </c>
      <c r="G269" s="3">
        <v>15000</v>
      </c>
      <c r="H269" s="3">
        <f t="shared" si="4"/>
        <v>2388.2399999999998</v>
      </c>
      <c r="I269" t="s">
        <v>41</v>
      </c>
    </row>
    <row r="270" spans="1:9" x14ac:dyDescent="0.35">
      <c r="A270" s="2">
        <v>44440</v>
      </c>
      <c r="B270" t="s">
        <v>10</v>
      </c>
      <c r="C270" t="s">
        <v>11</v>
      </c>
      <c r="D270" t="s">
        <v>12</v>
      </c>
      <c r="E270" t="s">
        <v>8</v>
      </c>
      <c r="F270" s="3">
        <v>34041.300000000003</v>
      </c>
      <c r="G270" s="3">
        <v>15000</v>
      </c>
      <c r="H270" s="3">
        <f t="shared" si="4"/>
        <v>3404.1300000000006</v>
      </c>
      <c r="I270" t="s">
        <v>41</v>
      </c>
    </row>
    <row r="271" spans="1:9" x14ac:dyDescent="0.35">
      <c r="A271" s="2">
        <v>44440</v>
      </c>
      <c r="B271" t="s">
        <v>35</v>
      </c>
      <c r="C271" t="s">
        <v>36</v>
      </c>
      <c r="D271" t="s">
        <v>37</v>
      </c>
      <c r="E271" t="s">
        <v>20</v>
      </c>
      <c r="F271" s="3">
        <v>7714</v>
      </c>
      <c r="G271" s="3">
        <v>15000</v>
      </c>
      <c r="H271" s="3" t="str">
        <f t="shared" si="4"/>
        <v>$_</v>
      </c>
      <c r="I271" t="s">
        <v>9</v>
      </c>
    </row>
    <row r="272" spans="1:9" x14ac:dyDescent="0.35">
      <c r="A272" s="2">
        <v>44440</v>
      </c>
      <c r="B272" t="s">
        <v>17</v>
      </c>
      <c r="C272" t="s">
        <v>18</v>
      </c>
      <c r="D272" t="s">
        <v>19</v>
      </c>
      <c r="E272" t="s">
        <v>20</v>
      </c>
      <c r="F272" s="3">
        <v>15152.399999999998</v>
      </c>
      <c r="G272" s="3">
        <v>15000</v>
      </c>
      <c r="H272" s="3">
        <f t="shared" si="4"/>
        <v>1515.2399999999998</v>
      </c>
      <c r="I272" t="s">
        <v>41</v>
      </c>
    </row>
    <row r="273" spans="1:9" x14ac:dyDescent="0.35">
      <c r="A273" s="2">
        <v>44440</v>
      </c>
      <c r="B273" t="s">
        <v>42</v>
      </c>
      <c r="C273" t="s">
        <v>43</v>
      </c>
      <c r="D273" t="s">
        <v>44</v>
      </c>
      <c r="E273" t="s">
        <v>20</v>
      </c>
      <c r="F273" s="3">
        <v>16363.900000000001</v>
      </c>
      <c r="G273" s="3">
        <v>15000</v>
      </c>
      <c r="H273" s="3">
        <f t="shared" si="4"/>
        <v>1636.3900000000003</v>
      </c>
      <c r="I273" t="s">
        <v>9</v>
      </c>
    </row>
    <row r="274" spans="1:9" x14ac:dyDescent="0.35">
      <c r="A274" s="2">
        <v>44440</v>
      </c>
      <c r="B274" t="s">
        <v>38</v>
      </c>
      <c r="C274" t="s">
        <v>39</v>
      </c>
      <c r="D274" t="s">
        <v>40</v>
      </c>
      <c r="E274" t="s">
        <v>31</v>
      </c>
      <c r="F274" s="3">
        <v>3710</v>
      </c>
      <c r="G274" s="3">
        <v>15000</v>
      </c>
      <c r="H274" s="3" t="str">
        <f t="shared" si="4"/>
        <v>$_</v>
      </c>
      <c r="I274" t="s">
        <v>41</v>
      </c>
    </row>
    <row r="275" spans="1:9" x14ac:dyDescent="0.35">
      <c r="A275" s="2">
        <v>44440</v>
      </c>
      <c r="B275" t="s">
        <v>60</v>
      </c>
      <c r="C275" t="s">
        <v>61</v>
      </c>
      <c r="D275" t="s">
        <v>62</v>
      </c>
      <c r="E275" t="s">
        <v>31</v>
      </c>
      <c r="F275" s="3">
        <v>6600</v>
      </c>
      <c r="G275" s="3">
        <v>15000</v>
      </c>
      <c r="H275" s="3" t="str">
        <f t="shared" si="4"/>
        <v>$_</v>
      </c>
      <c r="I275" t="s">
        <v>9</v>
      </c>
    </row>
    <row r="276" spans="1:9" x14ac:dyDescent="0.35">
      <c r="A276" s="2">
        <v>44440</v>
      </c>
      <c r="B276" t="s">
        <v>69</v>
      </c>
      <c r="C276" t="s">
        <v>70</v>
      </c>
      <c r="D276" t="s">
        <v>71</v>
      </c>
      <c r="E276" t="s">
        <v>31</v>
      </c>
      <c r="F276" s="3">
        <v>8001</v>
      </c>
      <c r="G276" s="3">
        <v>15000</v>
      </c>
      <c r="H276" s="3" t="str">
        <f t="shared" si="4"/>
        <v>$_</v>
      </c>
      <c r="I276" t="s">
        <v>9</v>
      </c>
    </row>
    <row r="277" spans="1:9" x14ac:dyDescent="0.35">
      <c r="A277" s="2">
        <v>44440</v>
      </c>
      <c r="B277" t="s">
        <v>38</v>
      </c>
      <c r="C277" t="s">
        <v>39</v>
      </c>
      <c r="D277" t="s">
        <v>40</v>
      </c>
      <c r="E277" t="s">
        <v>31</v>
      </c>
      <c r="F277" s="3">
        <v>8772</v>
      </c>
      <c r="G277" s="3">
        <v>15000</v>
      </c>
      <c r="H277" s="3" t="str">
        <f t="shared" si="4"/>
        <v>$_</v>
      </c>
      <c r="I277" t="s">
        <v>13</v>
      </c>
    </row>
    <row r="278" spans="1:9" x14ac:dyDescent="0.35">
      <c r="A278" s="2">
        <v>44440</v>
      </c>
      <c r="B278" t="s">
        <v>38</v>
      </c>
      <c r="C278" t="s">
        <v>39</v>
      </c>
      <c r="D278" t="s">
        <v>40</v>
      </c>
      <c r="E278" t="s">
        <v>31</v>
      </c>
      <c r="F278" s="3">
        <v>14089.199999999999</v>
      </c>
      <c r="G278" s="3">
        <v>15000</v>
      </c>
      <c r="H278" s="3" t="str">
        <f t="shared" si="4"/>
        <v>$_</v>
      </c>
      <c r="I278" t="s">
        <v>13</v>
      </c>
    </row>
    <row r="279" spans="1:9" x14ac:dyDescent="0.35">
      <c r="A279" s="2">
        <v>44440</v>
      </c>
      <c r="B279" t="s">
        <v>28</v>
      </c>
      <c r="C279" t="s">
        <v>29</v>
      </c>
      <c r="D279" t="s">
        <v>30</v>
      </c>
      <c r="E279" t="s">
        <v>31</v>
      </c>
      <c r="F279" s="3">
        <v>16702.400000000001</v>
      </c>
      <c r="G279" s="3">
        <v>15000</v>
      </c>
      <c r="H279" s="3">
        <f t="shared" si="4"/>
        <v>1670.2400000000002</v>
      </c>
      <c r="I279" t="s">
        <v>13</v>
      </c>
    </row>
    <row r="280" spans="1:9" x14ac:dyDescent="0.35">
      <c r="A280" s="2">
        <v>44440</v>
      </c>
      <c r="B280" t="s">
        <v>28</v>
      </c>
      <c r="C280" t="s">
        <v>29</v>
      </c>
      <c r="D280" t="s">
        <v>30</v>
      </c>
      <c r="E280" t="s">
        <v>31</v>
      </c>
      <c r="F280" s="3">
        <v>21216</v>
      </c>
      <c r="G280" s="3">
        <v>15000</v>
      </c>
      <c r="H280" s="3">
        <f t="shared" si="4"/>
        <v>2121.6</v>
      </c>
      <c r="I280" t="s">
        <v>13</v>
      </c>
    </row>
    <row r="281" spans="1:9" x14ac:dyDescent="0.35">
      <c r="A281" s="2">
        <v>44440</v>
      </c>
      <c r="B281" t="s">
        <v>60</v>
      </c>
      <c r="C281" t="s">
        <v>61</v>
      </c>
      <c r="D281" t="s">
        <v>62</v>
      </c>
      <c r="E281" t="s">
        <v>31</v>
      </c>
      <c r="F281" s="3">
        <v>21546</v>
      </c>
      <c r="G281" s="3">
        <v>15000</v>
      </c>
      <c r="H281" s="3">
        <f t="shared" si="4"/>
        <v>2154.6</v>
      </c>
      <c r="I281" t="s">
        <v>9</v>
      </c>
    </row>
    <row r="282" spans="1:9" x14ac:dyDescent="0.35">
      <c r="A282" s="2">
        <v>44440</v>
      </c>
      <c r="B282" t="s">
        <v>60</v>
      </c>
      <c r="C282" t="s">
        <v>61</v>
      </c>
      <c r="D282" t="s">
        <v>62</v>
      </c>
      <c r="E282" t="s">
        <v>31</v>
      </c>
      <c r="F282" s="3">
        <v>31186.6</v>
      </c>
      <c r="G282" s="3">
        <v>15000</v>
      </c>
      <c r="H282" s="3">
        <f t="shared" si="4"/>
        <v>3118.66</v>
      </c>
      <c r="I282" t="s">
        <v>9</v>
      </c>
    </row>
    <row r="283" spans="1:9" x14ac:dyDescent="0.35">
      <c r="A283" s="2">
        <v>44440</v>
      </c>
      <c r="B283" t="s">
        <v>28</v>
      </c>
      <c r="C283" t="s">
        <v>29</v>
      </c>
      <c r="D283" t="s">
        <v>30</v>
      </c>
      <c r="E283" t="s">
        <v>31</v>
      </c>
      <c r="F283" s="3">
        <v>31999.200000000001</v>
      </c>
      <c r="G283" s="3">
        <v>15000</v>
      </c>
      <c r="H283" s="3">
        <f t="shared" si="4"/>
        <v>3199.92</v>
      </c>
      <c r="I283" t="s">
        <v>13</v>
      </c>
    </row>
    <row r="284" spans="1:9" x14ac:dyDescent="0.35">
      <c r="A284" s="2">
        <v>44440</v>
      </c>
      <c r="B284" t="s">
        <v>60</v>
      </c>
      <c r="C284" t="s">
        <v>61</v>
      </c>
      <c r="D284" t="s">
        <v>62</v>
      </c>
      <c r="E284" t="s">
        <v>31</v>
      </c>
      <c r="F284" s="3">
        <v>37520</v>
      </c>
      <c r="G284" s="3">
        <v>15000</v>
      </c>
      <c r="H284" s="3">
        <f t="shared" si="4"/>
        <v>3752</v>
      </c>
      <c r="I284" t="s">
        <v>13</v>
      </c>
    </row>
    <row r="285" spans="1:9" x14ac:dyDescent="0.35">
      <c r="A285" s="2">
        <v>44440</v>
      </c>
      <c r="B285" t="s">
        <v>60</v>
      </c>
      <c r="C285" t="s">
        <v>61</v>
      </c>
      <c r="D285" t="s">
        <v>62</v>
      </c>
      <c r="E285" t="s">
        <v>31</v>
      </c>
      <c r="F285" s="3">
        <v>41215.299999999996</v>
      </c>
      <c r="G285" s="3">
        <v>15000</v>
      </c>
      <c r="H285" s="3">
        <f t="shared" si="4"/>
        <v>4121.53</v>
      </c>
      <c r="I285" t="s">
        <v>41</v>
      </c>
    </row>
    <row r="286" spans="1:9" x14ac:dyDescent="0.35">
      <c r="A286" s="2">
        <v>44440</v>
      </c>
      <c r="B286" t="s">
        <v>45</v>
      </c>
      <c r="C286" t="s">
        <v>46</v>
      </c>
      <c r="D286" t="s">
        <v>47</v>
      </c>
      <c r="E286" t="s">
        <v>24</v>
      </c>
      <c r="F286" s="3">
        <v>7008</v>
      </c>
      <c r="G286" s="3">
        <v>15000</v>
      </c>
      <c r="H286" s="3" t="str">
        <f t="shared" si="4"/>
        <v>$_</v>
      </c>
      <c r="I286" t="s">
        <v>41</v>
      </c>
    </row>
    <row r="287" spans="1:9" x14ac:dyDescent="0.35">
      <c r="A287" s="2">
        <v>44440</v>
      </c>
      <c r="B287" t="s">
        <v>21</v>
      </c>
      <c r="C287" t="s">
        <v>22</v>
      </c>
      <c r="D287" t="s">
        <v>23</v>
      </c>
      <c r="E287" t="s">
        <v>24</v>
      </c>
      <c r="F287" s="3">
        <v>8099.6999999999989</v>
      </c>
      <c r="G287" s="3">
        <v>15000</v>
      </c>
      <c r="H287" s="3" t="str">
        <f t="shared" si="4"/>
        <v>$_</v>
      </c>
      <c r="I287" t="s">
        <v>9</v>
      </c>
    </row>
    <row r="288" spans="1:9" x14ac:dyDescent="0.35">
      <c r="A288" s="2">
        <v>44440</v>
      </c>
      <c r="B288" t="s">
        <v>32</v>
      </c>
      <c r="C288" t="s">
        <v>33</v>
      </c>
      <c r="D288" t="s">
        <v>34</v>
      </c>
      <c r="E288" t="s">
        <v>24</v>
      </c>
      <c r="F288" s="3">
        <v>9840</v>
      </c>
      <c r="G288" s="3">
        <v>15000</v>
      </c>
      <c r="H288" s="3" t="str">
        <f t="shared" si="4"/>
        <v>$_</v>
      </c>
      <c r="I288" t="s">
        <v>13</v>
      </c>
    </row>
    <row r="289" spans="1:9" x14ac:dyDescent="0.35">
      <c r="A289" s="2">
        <v>44440</v>
      </c>
      <c r="B289" t="s">
        <v>48</v>
      </c>
      <c r="C289" t="s">
        <v>49</v>
      </c>
      <c r="D289" t="s">
        <v>50</v>
      </c>
      <c r="E289" t="s">
        <v>24</v>
      </c>
      <c r="F289" s="3">
        <v>10218</v>
      </c>
      <c r="G289" s="3">
        <v>15000</v>
      </c>
      <c r="H289" s="3" t="str">
        <f t="shared" si="4"/>
        <v>$_</v>
      </c>
      <c r="I289" t="s">
        <v>13</v>
      </c>
    </row>
    <row r="290" spans="1:9" x14ac:dyDescent="0.35">
      <c r="A290" s="2">
        <v>44440</v>
      </c>
      <c r="B290" t="s">
        <v>32</v>
      </c>
      <c r="C290" t="s">
        <v>33</v>
      </c>
      <c r="D290" t="s">
        <v>34</v>
      </c>
      <c r="E290" t="s">
        <v>24</v>
      </c>
      <c r="F290" s="3">
        <v>14311.2</v>
      </c>
      <c r="G290" s="3">
        <v>15000</v>
      </c>
      <c r="H290" s="3" t="str">
        <f t="shared" si="4"/>
        <v>$_</v>
      </c>
      <c r="I290" t="s">
        <v>9</v>
      </c>
    </row>
    <row r="291" spans="1:9" x14ac:dyDescent="0.35">
      <c r="A291" s="2">
        <v>44440</v>
      </c>
      <c r="B291" t="s">
        <v>32</v>
      </c>
      <c r="C291" t="s">
        <v>33</v>
      </c>
      <c r="D291" t="s">
        <v>34</v>
      </c>
      <c r="E291" t="s">
        <v>24</v>
      </c>
      <c r="F291" s="3">
        <v>14715.2</v>
      </c>
      <c r="G291" s="3">
        <v>15000</v>
      </c>
      <c r="H291" s="3" t="str">
        <f t="shared" si="4"/>
        <v>$_</v>
      </c>
      <c r="I291" t="s">
        <v>13</v>
      </c>
    </row>
    <row r="292" spans="1:9" x14ac:dyDescent="0.35">
      <c r="A292" s="2">
        <v>44440</v>
      </c>
      <c r="B292" t="s">
        <v>54</v>
      </c>
      <c r="C292" t="s">
        <v>55</v>
      </c>
      <c r="D292" t="s">
        <v>56</v>
      </c>
      <c r="E292" t="s">
        <v>24</v>
      </c>
      <c r="F292" s="3">
        <v>19147.8</v>
      </c>
      <c r="G292" s="3">
        <v>15000</v>
      </c>
      <c r="H292" s="3">
        <f t="shared" si="4"/>
        <v>1914.78</v>
      </c>
      <c r="I292" t="s">
        <v>13</v>
      </c>
    </row>
    <row r="293" spans="1:9" x14ac:dyDescent="0.35">
      <c r="A293" s="2">
        <v>44440</v>
      </c>
      <c r="B293" t="s">
        <v>32</v>
      </c>
      <c r="C293" t="s">
        <v>33</v>
      </c>
      <c r="D293" t="s">
        <v>34</v>
      </c>
      <c r="E293" t="s">
        <v>24</v>
      </c>
      <c r="F293" s="3">
        <v>20760.300000000003</v>
      </c>
      <c r="G293" s="3">
        <v>15000</v>
      </c>
      <c r="H293" s="3">
        <f t="shared" si="4"/>
        <v>2076.0300000000002</v>
      </c>
      <c r="I293" t="s">
        <v>13</v>
      </c>
    </row>
    <row r="294" spans="1:9" x14ac:dyDescent="0.35">
      <c r="A294" s="2">
        <v>44440</v>
      </c>
      <c r="B294" t="s">
        <v>54</v>
      </c>
      <c r="C294" t="s">
        <v>55</v>
      </c>
      <c r="D294" t="s">
        <v>56</v>
      </c>
      <c r="E294" t="s">
        <v>24</v>
      </c>
      <c r="F294" s="3">
        <v>24579.8</v>
      </c>
      <c r="G294" s="3">
        <v>15000</v>
      </c>
      <c r="H294" s="3">
        <f t="shared" si="4"/>
        <v>2457.98</v>
      </c>
      <c r="I294" t="s">
        <v>9</v>
      </c>
    </row>
    <row r="295" spans="1:9" x14ac:dyDescent="0.35">
      <c r="A295" s="2">
        <v>44440</v>
      </c>
      <c r="B295" t="s">
        <v>54</v>
      </c>
      <c r="C295" t="s">
        <v>55</v>
      </c>
      <c r="D295" t="s">
        <v>56</v>
      </c>
      <c r="E295" t="s">
        <v>24</v>
      </c>
      <c r="F295" s="3">
        <v>25946.300000000003</v>
      </c>
      <c r="G295" s="3">
        <v>15000</v>
      </c>
      <c r="H295" s="3">
        <f t="shared" si="4"/>
        <v>2594.6300000000006</v>
      </c>
      <c r="I295" t="s">
        <v>41</v>
      </c>
    </row>
    <row r="296" spans="1:9" x14ac:dyDescent="0.35">
      <c r="A296" s="2">
        <v>44440</v>
      </c>
      <c r="B296" t="s">
        <v>21</v>
      </c>
      <c r="C296" t="s">
        <v>22</v>
      </c>
      <c r="D296" t="s">
        <v>23</v>
      </c>
      <c r="E296" t="s">
        <v>24</v>
      </c>
      <c r="F296" s="3">
        <v>30367.999999999996</v>
      </c>
      <c r="G296" s="3">
        <v>15000</v>
      </c>
      <c r="H296" s="3">
        <f t="shared" si="4"/>
        <v>3036.7999999999997</v>
      </c>
      <c r="I296" t="s">
        <v>13</v>
      </c>
    </row>
    <row r="297" spans="1:9" x14ac:dyDescent="0.35">
      <c r="A297" s="2">
        <v>44440</v>
      </c>
      <c r="B297" t="s">
        <v>45</v>
      </c>
      <c r="C297" t="s">
        <v>46</v>
      </c>
      <c r="D297" t="s">
        <v>47</v>
      </c>
      <c r="E297" t="s">
        <v>24</v>
      </c>
      <c r="F297" s="3">
        <v>35640</v>
      </c>
      <c r="G297" s="3">
        <v>15000</v>
      </c>
      <c r="H297" s="3">
        <f t="shared" si="4"/>
        <v>3564</v>
      </c>
      <c r="I297" t="s">
        <v>9</v>
      </c>
    </row>
    <row r="298" spans="1:9" x14ac:dyDescent="0.35">
      <c r="A298" s="2">
        <v>44470</v>
      </c>
      <c r="B298" t="s">
        <v>25</v>
      </c>
      <c r="C298" t="s">
        <v>26</v>
      </c>
      <c r="D298" t="s">
        <v>27</v>
      </c>
      <c r="E298" t="s">
        <v>8</v>
      </c>
      <c r="F298" s="3">
        <v>3243.6000000000004</v>
      </c>
      <c r="G298" s="3">
        <v>15000</v>
      </c>
      <c r="H298" s="3" t="str">
        <f t="shared" si="4"/>
        <v>$_</v>
      </c>
      <c r="I298" t="s">
        <v>9</v>
      </c>
    </row>
    <row r="299" spans="1:9" x14ac:dyDescent="0.35">
      <c r="A299" s="2">
        <v>44470</v>
      </c>
      <c r="B299" t="s">
        <v>14</v>
      </c>
      <c r="C299" t="s">
        <v>15</v>
      </c>
      <c r="D299" t="s">
        <v>16</v>
      </c>
      <c r="E299" t="s">
        <v>8</v>
      </c>
      <c r="F299" s="3">
        <v>12633.599999999999</v>
      </c>
      <c r="G299" s="3">
        <v>15000</v>
      </c>
      <c r="H299" s="3" t="str">
        <f t="shared" si="4"/>
        <v>$_</v>
      </c>
      <c r="I299" t="s">
        <v>13</v>
      </c>
    </row>
    <row r="300" spans="1:9" x14ac:dyDescent="0.35">
      <c r="A300" s="2">
        <v>44470</v>
      </c>
      <c r="B300" t="s">
        <v>25</v>
      </c>
      <c r="C300" t="s">
        <v>26</v>
      </c>
      <c r="D300" t="s">
        <v>27</v>
      </c>
      <c r="E300" t="s">
        <v>8</v>
      </c>
      <c r="F300" s="3">
        <v>12806.399999999998</v>
      </c>
      <c r="G300" s="3">
        <v>15000</v>
      </c>
      <c r="H300" s="3" t="str">
        <f t="shared" si="4"/>
        <v>$_</v>
      </c>
      <c r="I300" t="s">
        <v>41</v>
      </c>
    </row>
    <row r="301" spans="1:9" x14ac:dyDescent="0.35">
      <c r="A301" s="2">
        <v>44470</v>
      </c>
      <c r="B301" t="s">
        <v>10</v>
      </c>
      <c r="C301" t="s">
        <v>11</v>
      </c>
      <c r="D301" t="s">
        <v>12</v>
      </c>
      <c r="E301" t="s">
        <v>8</v>
      </c>
      <c r="F301" s="3">
        <v>20031.199999999997</v>
      </c>
      <c r="G301" s="3">
        <v>15000</v>
      </c>
      <c r="H301" s="3">
        <f t="shared" si="4"/>
        <v>2003.12</v>
      </c>
      <c r="I301" t="s">
        <v>41</v>
      </c>
    </row>
    <row r="302" spans="1:9" x14ac:dyDescent="0.35">
      <c r="A302" s="2">
        <v>44470</v>
      </c>
      <c r="B302" t="s">
        <v>5</v>
      </c>
      <c r="C302" t="s">
        <v>6</v>
      </c>
      <c r="D302" t="s">
        <v>7</v>
      </c>
      <c r="E302" t="s">
        <v>8</v>
      </c>
      <c r="F302" s="3">
        <v>21485.200000000001</v>
      </c>
      <c r="G302" s="3">
        <v>15000</v>
      </c>
      <c r="H302" s="3">
        <f t="shared" si="4"/>
        <v>2148.52</v>
      </c>
      <c r="I302" t="s">
        <v>13</v>
      </c>
    </row>
    <row r="303" spans="1:9" x14ac:dyDescent="0.35">
      <c r="A303" s="2">
        <v>44470</v>
      </c>
      <c r="B303" t="s">
        <v>66</v>
      </c>
      <c r="C303" t="s">
        <v>67</v>
      </c>
      <c r="D303" t="s">
        <v>68</v>
      </c>
      <c r="E303" t="s">
        <v>8</v>
      </c>
      <c r="F303" s="3">
        <v>22607.200000000004</v>
      </c>
      <c r="G303" s="3">
        <v>15000</v>
      </c>
      <c r="H303" s="3">
        <f t="shared" si="4"/>
        <v>2260.7200000000007</v>
      </c>
      <c r="I303" t="s">
        <v>9</v>
      </c>
    </row>
    <row r="304" spans="1:9" x14ac:dyDescent="0.35">
      <c r="A304" s="2">
        <v>44470</v>
      </c>
      <c r="B304" t="s">
        <v>17</v>
      </c>
      <c r="C304" t="s">
        <v>18</v>
      </c>
      <c r="D304" t="s">
        <v>19</v>
      </c>
      <c r="E304" t="s">
        <v>20</v>
      </c>
      <c r="F304" s="3">
        <v>2997.2</v>
      </c>
      <c r="G304" s="3">
        <v>15000</v>
      </c>
      <c r="H304" s="3" t="str">
        <f t="shared" si="4"/>
        <v>$_</v>
      </c>
      <c r="I304" t="s">
        <v>9</v>
      </c>
    </row>
    <row r="305" spans="1:9" x14ac:dyDescent="0.35">
      <c r="A305" s="2">
        <v>44470</v>
      </c>
      <c r="B305" t="s">
        <v>35</v>
      </c>
      <c r="C305" t="s">
        <v>36</v>
      </c>
      <c r="D305" t="s">
        <v>37</v>
      </c>
      <c r="E305" t="s">
        <v>20</v>
      </c>
      <c r="F305" s="3">
        <v>7195.9999999999991</v>
      </c>
      <c r="G305" s="3">
        <v>15000</v>
      </c>
      <c r="H305" s="3" t="str">
        <f t="shared" si="4"/>
        <v>$_</v>
      </c>
      <c r="I305" t="s">
        <v>13</v>
      </c>
    </row>
    <row r="306" spans="1:9" x14ac:dyDescent="0.35">
      <c r="A306" s="2">
        <v>44470</v>
      </c>
      <c r="B306" t="s">
        <v>51</v>
      </c>
      <c r="C306" t="s">
        <v>52</v>
      </c>
      <c r="D306" t="s">
        <v>53</v>
      </c>
      <c r="E306" t="s">
        <v>20</v>
      </c>
      <c r="F306" s="3">
        <v>10595.2</v>
      </c>
      <c r="G306" s="3">
        <v>15000</v>
      </c>
      <c r="H306" s="3" t="str">
        <f t="shared" si="4"/>
        <v>$_</v>
      </c>
      <c r="I306" t="s">
        <v>41</v>
      </c>
    </row>
    <row r="307" spans="1:9" x14ac:dyDescent="0.35">
      <c r="A307" s="2">
        <v>44470</v>
      </c>
      <c r="B307" t="s">
        <v>35</v>
      </c>
      <c r="C307" t="s">
        <v>36</v>
      </c>
      <c r="D307" t="s">
        <v>37</v>
      </c>
      <c r="E307" t="s">
        <v>20</v>
      </c>
      <c r="F307" s="3">
        <v>10694.7</v>
      </c>
      <c r="G307" s="3">
        <v>15000</v>
      </c>
      <c r="H307" s="3" t="str">
        <f t="shared" si="4"/>
        <v>$_</v>
      </c>
      <c r="I307" t="s">
        <v>41</v>
      </c>
    </row>
    <row r="308" spans="1:9" x14ac:dyDescent="0.35">
      <c r="A308" s="2">
        <v>44470</v>
      </c>
      <c r="B308" t="s">
        <v>51</v>
      </c>
      <c r="C308" t="s">
        <v>52</v>
      </c>
      <c r="D308" t="s">
        <v>53</v>
      </c>
      <c r="E308" t="s">
        <v>20</v>
      </c>
      <c r="F308" s="3">
        <v>14235.4</v>
      </c>
      <c r="G308" s="3">
        <v>15000</v>
      </c>
      <c r="H308" s="3" t="str">
        <f t="shared" si="4"/>
        <v>$_</v>
      </c>
      <c r="I308" t="s">
        <v>41</v>
      </c>
    </row>
    <row r="309" spans="1:9" x14ac:dyDescent="0.35">
      <c r="A309" s="2">
        <v>44470</v>
      </c>
      <c r="B309" t="s">
        <v>51</v>
      </c>
      <c r="C309" t="s">
        <v>52</v>
      </c>
      <c r="D309" t="s">
        <v>53</v>
      </c>
      <c r="E309" t="s">
        <v>20</v>
      </c>
      <c r="F309" s="3">
        <v>36530.199999999997</v>
      </c>
      <c r="G309" s="3">
        <v>15000</v>
      </c>
      <c r="H309" s="3">
        <f t="shared" si="4"/>
        <v>3653.02</v>
      </c>
      <c r="I309" t="s">
        <v>13</v>
      </c>
    </row>
    <row r="310" spans="1:9" x14ac:dyDescent="0.35">
      <c r="A310" s="2">
        <v>44470</v>
      </c>
      <c r="B310" t="s">
        <v>63</v>
      </c>
      <c r="C310" t="s">
        <v>64</v>
      </c>
      <c r="D310" t="s">
        <v>65</v>
      </c>
      <c r="E310" t="s">
        <v>20</v>
      </c>
      <c r="F310" s="3">
        <v>36896.199999999997</v>
      </c>
      <c r="G310" s="3">
        <v>15000</v>
      </c>
      <c r="H310" s="3">
        <f t="shared" si="4"/>
        <v>3689.62</v>
      </c>
      <c r="I310" t="s">
        <v>41</v>
      </c>
    </row>
    <row r="311" spans="1:9" x14ac:dyDescent="0.35">
      <c r="A311" s="2">
        <v>44470</v>
      </c>
      <c r="B311" t="s">
        <v>17</v>
      </c>
      <c r="C311" t="s">
        <v>18</v>
      </c>
      <c r="D311" t="s">
        <v>19</v>
      </c>
      <c r="E311" t="s">
        <v>20</v>
      </c>
      <c r="F311" s="3">
        <v>41420.699999999997</v>
      </c>
      <c r="G311" s="3">
        <v>15000</v>
      </c>
      <c r="H311" s="3">
        <f t="shared" si="4"/>
        <v>4142.07</v>
      </c>
      <c r="I311" t="s">
        <v>9</v>
      </c>
    </row>
    <row r="312" spans="1:9" x14ac:dyDescent="0.35">
      <c r="A312" s="2">
        <v>44470</v>
      </c>
      <c r="B312" t="s">
        <v>28</v>
      </c>
      <c r="C312" t="s">
        <v>29</v>
      </c>
      <c r="D312" t="s">
        <v>30</v>
      </c>
      <c r="E312" t="s">
        <v>31</v>
      </c>
      <c r="F312" s="3">
        <v>3035.1</v>
      </c>
      <c r="G312" s="3">
        <v>15000</v>
      </c>
      <c r="H312" s="3" t="str">
        <f t="shared" si="4"/>
        <v>$_</v>
      </c>
      <c r="I312" t="s">
        <v>13</v>
      </c>
    </row>
    <row r="313" spans="1:9" x14ac:dyDescent="0.35">
      <c r="A313" s="2">
        <v>44470</v>
      </c>
      <c r="B313" t="s">
        <v>60</v>
      </c>
      <c r="C313" t="s">
        <v>61</v>
      </c>
      <c r="D313" t="s">
        <v>62</v>
      </c>
      <c r="E313" t="s">
        <v>31</v>
      </c>
      <c r="F313" s="3">
        <v>6688</v>
      </c>
      <c r="G313" s="3">
        <v>15000</v>
      </c>
      <c r="H313" s="3" t="str">
        <f t="shared" si="4"/>
        <v>$_</v>
      </c>
      <c r="I313" t="s">
        <v>13</v>
      </c>
    </row>
    <row r="314" spans="1:9" x14ac:dyDescent="0.35">
      <c r="A314" s="2">
        <v>44470</v>
      </c>
      <c r="B314" t="s">
        <v>28</v>
      </c>
      <c r="C314" t="s">
        <v>29</v>
      </c>
      <c r="D314" t="s">
        <v>30</v>
      </c>
      <c r="E314" t="s">
        <v>31</v>
      </c>
      <c r="F314" s="3">
        <v>7024.2</v>
      </c>
      <c r="G314" s="3">
        <v>15000</v>
      </c>
      <c r="H314" s="3" t="str">
        <f t="shared" si="4"/>
        <v>$_</v>
      </c>
      <c r="I314" t="s">
        <v>41</v>
      </c>
    </row>
    <row r="315" spans="1:9" x14ac:dyDescent="0.35">
      <c r="A315" s="2">
        <v>44470</v>
      </c>
      <c r="B315" t="s">
        <v>60</v>
      </c>
      <c r="C315" t="s">
        <v>61</v>
      </c>
      <c r="D315" t="s">
        <v>62</v>
      </c>
      <c r="E315" t="s">
        <v>31</v>
      </c>
      <c r="F315" s="3">
        <v>7139.0000000000009</v>
      </c>
      <c r="G315" s="3">
        <v>15000</v>
      </c>
      <c r="H315" s="3" t="str">
        <f t="shared" si="4"/>
        <v>$_</v>
      </c>
      <c r="I315" t="s">
        <v>9</v>
      </c>
    </row>
    <row r="316" spans="1:9" x14ac:dyDescent="0.35">
      <c r="A316" s="2">
        <v>44470</v>
      </c>
      <c r="B316" t="s">
        <v>38</v>
      </c>
      <c r="C316" t="s">
        <v>39</v>
      </c>
      <c r="D316" t="s">
        <v>40</v>
      </c>
      <c r="E316" t="s">
        <v>31</v>
      </c>
      <c r="F316" s="3">
        <v>10948</v>
      </c>
      <c r="G316" s="3">
        <v>15000</v>
      </c>
      <c r="H316" s="3" t="str">
        <f t="shared" si="4"/>
        <v>$_</v>
      </c>
      <c r="I316" t="s">
        <v>13</v>
      </c>
    </row>
    <row r="317" spans="1:9" x14ac:dyDescent="0.35">
      <c r="A317" s="2">
        <v>44470</v>
      </c>
      <c r="B317" t="s">
        <v>38</v>
      </c>
      <c r="C317" t="s">
        <v>39</v>
      </c>
      <c r="D317" t="s">
        <v>40</v>
      </c>
      <c r="E317" t="s">
        <v>31</v>
      </c>
      <c r="F317" s="3">
        <v>10988.800000000001</v>
      </c>
      <c r="G317" s="3">
        <v>15000</v>
      </c>
      <c r="H317" s="3" t="str">
        <f t="shared" si="4"/>
        <v>$_</v>
      </c>
      <c r="I317" t="s">
        <v>9</v>
      </c>
    </row>
    <row r="318" spans="1:9" x14ac:dyDescent="0.35">
      <c r="A318" s="2">
        <v>44470</v>
      </c>
      <c r="B318" t="s">
        <v>38</v>
      </c>
      <c r="C318" t="s">
        <v>39</v>
      </c>
      <c r="D318" t="s">
        <v>40</v>
      </c>
      <c r="E318" t="s">
        <v>31</v>
      </c>
      <c r="F318" s="3">
        <v>12306.6</v>
      </c>
      <c r="G318" s="3">
        <v>15000</v>
      </c>
      <c r="H318" s="3" t="str">
        <f t="shared" si="4"/>
        <v>$_</v>
      </c>
      <c r="I318" t="s">
        <v>13</v>
      </c>
    </row>
    <row r="319" spans="1:9" x14ac:dyDescent="0.35">
      <c r="A319" s="2">
        <v>44470</v>
      </c>
      <c r="B319" t="s">
        <v>38</v>
      </c>
      <c r="C319" t="s">
        <v>39</v>
      </c>
      <c r="D319" t="s">
        <v>40</v>
      </c>
      <c r="E319" t="s">
        <v>31</v>
      </c>
      <c r="F319" s="3">
        <v>16077</v>
      </c>
      <c r="G319" s="3">
        <v>15000</v>
      </c>
      <c r="H319" s="3">
        <f t="shared" si="4"/>
        <v>1607.7</v>
      </c>
      <c r="I319" t="s">
        <v>13</v>
      </c>
    </row>
    <row r="320" spans="1:9" x14ac:dyDescent="0.35">
      <c r="A320" s="2">
        <v>44470</v>
      </c>
      <c r="B320" t="s">
        <v>57</v>
      </c>
      <c r="C320" t="s">
        <v>58</v>
      </c>
      <c r="D320" t="s">
        <v>59</v>
      </c>
      <c r="E320" t="s">
        <v>31</v>
      </c>
      <c r="F320" s="3">
        <v>19594</v>
      </c>
      <c r="G320" s="3">
        <v>15000</v>
      </c>
      <c r="H320" s="3">
        <f t="shared" si="4"/>
        <v>1959.4</v>
      </c>
      <c r="I320" t="s">
        <v>13</v>
      </c>
    </row>
    <row r="321" spans="1:9" x14ac:dyDescent="0.35">
      <c r="A321" s="2">
        <v>44470</v>
      </c>
      <c r="B321" t="s">
        <v>28</v>
      </c>
      <c r="C321" t="s">
        <v>29</v>
      </c>
      <c r="D321" t="s">
        <v>30</v>
      </c>
      <c r="E321" t="s">
        <v>31</v>
      </c>
      <c r="F321" s="3">
        <v>19946.199999999997</v>
      </c>
      <c r="G321" s="3">
        <v>15000</v>
      </c>
      <c r="H321" s="3">
        <f t="shared" si="4"/>
        <v>1994.62</v>
      </c>
      <c r="I321" t="s">
        <v>41</v>
      </c>
    </row>
    <row r="322" spans="1:9" x14ac:dyDescent="0.35">
      <c r="A322" s="2">
        <v>44470</v>
      </c>
      <c r="B322" t="s">
        <v>69</v>
      </c>
      <c r="C322" t="s">
        <v>70</v>
      </c>
      <c r="D322" t="s">
        <v>71</v>
      </c>
      <c r="E322" t="s">
        <v>31</v>
      </c>
      <c r="F322" s="3">
        <v>26773.4</v>
      </c>
      <c r="G322" s="3">
        <v>15000</v>
      </c>
      <c r="H322" s="3">
        <f t="shared" ref="H322:H385" si="5">IF(F322&gt;=G322, F322*Commission, "$_")</f>
        <v>2677.34</v>
      </c>
      <c r="I322" t="s">
        <v>41</v>
      </c>
    </row>
    <row r="323" spans="1:9" x14ac:dyDescent="0.35">
      <c r="A323" s="2">
        <v>44470</v>
      </c>
      <c r="B323" t="s">
        <v>38</v>
      </c>
      <c r="C323" t="s">
        <v>39</v>
      </c>
      <c r="D323" t="s">
        <v>40</v>
      </c>
      <c r="E323" t="s">
        <v>31</v>
      </c>
      <c r="F323" s="3">
        <v>28464.9</v>
      </c>
      <c r="G323" s="3">
        <v>15000</v>
      </c>
      <c r="H323" s="3">
        <f t="shared" si="5"/>
        <v>2846.4900000000002</v>
      </c>
      <c r="I323" t="s">
        <v>41</v>
      </c>
    </row>
    <row r="324" spans="1:9" x14ac:dyDescent="0.35">
      <c r="A324" s="2">
        <v>44470</v>
      </c>
      <c r="B324" t="s">
        <v>60</v>
      </c>
      <c r="C324" t="s">
        <v>61</v>
      </c>
      <c r="D324" t="s">
        <v>62</v>
      </c>
      <c r="E324" t="s">
        <v>31</v>
      </c>
      <c r="F324" s="3">
        <v>37544.800000000003</v>
      </c>
      <c r="G324" s="3">
        <v>15000</v>
      </c>
      <c r="H324" s="3">
        <f t="shared" si="5"/>
        <v>3754.4800000000005</v>
      </c>
      <c r="I324" t="s">
        <v>9</v>
      </c>
    </row>
    <row r="325" spans="1:9" x14ac:dyDescent="0.35">
      <c r="A325" s="2">
        <v>44470</v>
      </c>
      <c r="B325" t="s">
        <v>38</v>
      </c>
      <c r="C325" t="s">
        <v>39</v>
      </c>
      <c r="D325" t="s">
        <v>40</v>
      </c>
      <c r="E325" t="s">
        <v>31</v>
      </c>
      <c r="F325" s="3">
        <v>40224.800000000003</v>
      </c>
      <c r="G325" s="3">
        <v>15000</v>
      </c>
      <c r="H325" s="3">
        <f t="shared" si="5"/>
        <v>4022.4800000000005</v>
      </c>
      <c r="I325" t="s">
        <v>9</v>
      </c>
    </row>
    <row r="326" spans="1:9" x14ac:dyDescent="0.35">
      <c r="A326" s="2">
        <v>44470</v>
      </c>
      <c r="B326" t="s">
        <v>57</v>
      </c>
      <c r="C326" t="s">
        <v>58</v>
      </c>
      <c r="D326" t="s">
        <v>59</v>
      </c>
      <c r="E326" t="s">
        <v>31</v>
      </c>
      <c r="F326" s="3">
        <v>43591.8</v>
      </c>
      <c r="G326" s="3">
        <v>15000</v>
      </c>
      <c r="H326" s="3">
        <f t="shared" si="5"/>
        <v>4359.18</v>
      </c>
      <c r="I326" t="s">
        <v>9</v>
      </c>
    </row>
    <row r="327" spans="1:9" x14ac:dyDescent="0.35">
      <c r="A327" s="2">
        <v>44470</v>
      </c>
      <c r="B327" t="s">
        <v>48</v>
      </c>
      <c r="C327" t="s">
        <v>49</v>
      </c>
      <c r="D327" t="s">
        <v>50</v>
      </c>
      <c r="E327" t="s">
        <v>24</v>
      </c>
      <c r="F327" s="3">
        <v>4201.6000000000004</v>
      </c>
      <c r="G327" s="3">
        <v>15000</v>
      </c>
      <c r="H327" s="3" t="str">
        <f t="shared" si="5"/>
        <v>$_</v>
      </c>
      <c r="I327" t="s">
        <v>13</v>
      </c>
    </row>
    <row r="328" spans="1:9" x14ac:dyDescent="0.35">
      <c r="A328" s="2">
        <v>44470</v>
      </c>
      <c r="B328" t="s">
        <v>21</v>
      </c>
      <c r="C328" t="s">
        <v>22</v>
      </c>
      <c r="D328" t="s">
        <v>23</v>
      </c>
      <c r="E328" t="s">
        <v>24</v>
      </c>
      <c r="F328" s="3">
        <v>15262.8</v>
      </c>
      <c r="G328" s="3">
        <v>15000</v>
      </c>
      <c r="H328" s="3">
        <f t="shared" si="5"/>
        <v>1526.28</v>
      </c>
      <c r="I328" t="s">
        <v>41</v>
      </c>
    </row>
    <row r="329" spans="1:9" x14ac:dyDescent="0.35">
      <c r="A329" s="2">
        <v>44470</v>
      </c>
      <c r="B329" t="s">
        <v>54</v>
      </c>
      <c r="C329" t="s">
        <v>55</v>
      </c>
      <c r="D329" t="s">
        <v>56</v>
      </c>
      <c r="E329" t="s">
        <v>24</v>
      </c>
      <c r="F329" s="3">
        <v>20790</v>
      </c>
      <c r="G329" s="3">
        <v>15000</v>
      </c>
      <c r="H329" s="3">
        <f t="shared" si="5"/>
        <v>2079</v>
      </c>
      <c r="I329" t="s">
        <v>13</v>
      </c>
    </row>
    <row r="330" spans="1:9" x14ac:dyDescent="0.35">
      <c r="A330" s="2">
        <v>44470</v>
      </c>
      <c r="B330" t="s">
        <v>48</v>
      </c>
      <c r="C330" t="s">
        <v>49</v>
      </c>
      <c r="D330" t="s">
        <v>50</v>
      </c>
      <c r="E330" t="s">
        <v>24</v>
      </c>
      <c r="F330" s="3">
        <v>21878.5</v>
      </c>
      <c r="G330" s="3">
        <v>15000</v>
      </c>
      <c r="H330" s="3">
        <f t="shared" si="5"/>
        <v>2187.85</v>
      </c>
      <c r="I330" t="s">
        <v>9</v>
      </c>
    </row>
    <row r="331" spans="1:9" x14ac:dyDescent="0.35">
      <c r="A331" s="2">
        <v>44470</v>
      </c>
      <c r="B331" t="s">
        <v>54</v>
      </c>
      <c r="C331" t="s">
        <v>55</v>
      </c>
      <c r="D331" t="s">
        <v>56</v>
      </c>
      <c r="E331" t="s">
        <v>24</v>
      </c>
      <c r="F331" s="3">
        <v>22136.800000000003</v>
      </c>
      <c r="G331" s="3">
        <v>15000</v>
      </c>
      <c r="H331" s="3">
        <f t="shared" si="5"/>
        <v>2213.6800000000003</v>
      </c>
      <c r="I331" t="s">
        <v>9</v>
      </c>
    </row>
    <row r="332" spans="1:9" x14ac:dyDescent="0.35">
      <c r="A332" s="2">
        <v>44470</v>
      </c>
      <c r="B332" t="s">
        <v>54</v>
      </c>
      <c r="C332" t="s">
        <v>55</v>
      </c>
      <c r="D332" t="s">
        <v>56</v>
      </c>
      <c r="E332" t="s">
        <v>24</v>
      </c>
      <c r="F332" s="3">
        <v>23240.400000000001</v>
      </c>
      <c r="G332" s="3">
        <v>15000</v>
      </c>
      <c r="H332" s="3">
        <f t="shared" si="5"/>
        <v>2324.0400000000004</v>
      </c>
      <c r="I332" t="s">
        <v>13</v>
      </c>
    </row>
    <row r="333" spans="1:9" x14ac:dyDescent="0.35">
      <c r="A333" s="2">
        <v>44470</v>
      </c>
      <c r="B333" t="s">
        <v>48</v>
      </c>
      <c r="C333" t="s">
        <v>49</v>
      </c>
      <c r="D333" t="s">
        <v>50</v>
      </c>
      <c r="E333" t="s">
        <v>24</v>
      </c>
      <c r="F333" s="3">
        <v>41989.599999999999</v>
      </c>
      <c r="G333" s="3">
        <v>15000</v>
      </c>
      <c r="H333" s="3">
        <f t="shared" si="5"/>
        <v>4198.96</v>
      </c>
      <c r="I333" t="s">
        <v>9</v>
      </c>
    </row>
    <row r="334" spans="1:9" x14ac:dyDescent="0.35">
      <c r="A334" s="2">
        <v>44501</v>
      </c>
      <c r="B334" t="s">
        <v>10</v>
      </c>
      <c r="C334" t="s">
        <v>11</v>
      </c>
      <c r="D334" t="s">
        <v>12</v>
      </c>
      <c r="E334" t="s">
        <v>8</v>
      </c>
      <c r="F334" s="3">
        <v>5130</v>
      </c>
      <c r="G334" s="3">
        <v>15000</v>
      </c>
      <c r="H334" s="3" t="str">
        <f t="shared" si="5"/>
        <v>$_</v>
      </c>
      <c r="I334" t="s">
        <v>13</v>
      </c>
    </row>
    <row r="335" spans="1:9" x14ac:dyDescent="0.35">
      <c r="A335" s="2">
        <v>44501</v>
      </c>
      <c r="B335" t="s">
        <v>5</v>
      </c>
      <c r="C335" t="s">
        <v>6</v>
      </c>
      <c r="D335" t="s">
        <v>7</v>
      </c>
      <c r="E335" t="s">
        <v>8</v>
      </c>
      <c r="F335" s="3">
        <v>8810.9</v>
      </c>
      <c r="G335" s="3">
        <v>15000</v>
      </c>
      <c r="H335" s="3" t="str">
        <f t="shared" si="5"/>
        <v>$_</v>
      </c>
      <c r="I335" t="s">
        <v>9</v>
      </c>
    </row>
    <row r="336" spans="1:9" x14ac:dyDescent="0.35">
      <c r="A336" s="2">
        <v>44501</v>
      </c>
      <c r="B336" t="s">
        <v>25</v>
      </c>
      <c r="C336" t="s">
        <v>26</v>
      </c>
      <c r="D336" t="s">
        <v>27</v>
      </c>
      <c r="E336" t="s">
        <v>8</v>
      </c>
      <c r="F336" s="3">
        <v>16606</v>
      </c>
      <c r="G336" s="3">
        <v>15000</v>
      </c>
      <c r="H336" s="3">
        <f t="shared" si="5"/>
        <v>1660.6000000000001</v>
      </c>
      <c r="I336" t="s">
        <v>9</v>
      </c>
    </row>
    <row r="337" spans="1:9" x14ac:dyDescent="0.35">
      <c r="A337" s="2">
        <v>44501</v>
      </c>
      <c r="B337" t="s">
        <v>10</v>
      </c>
      <c r="C337" t="s">
        <v>11</v>
      </c>
      <c r="D337" t="s">
        <v>12</v>
      </c>
      <c r="E337" t="s">
        <v>8</v>
      </c>
      <c r="F337" s="3">
        <v>17766</v>
      </c>
      <c r="G337" s="3">
        <v>15000</v>
      </c>
      <c r="H337" s="3">
        <f t="shared" si="5"/>
        <v>1776.6000000000001</v>
      </c>
      <c r="I337" t="s">
        <v>9</v>
      </c>
    </row>
    <row r="338" spans="1:9" x14ac:dyDescent="0.35">
      <c r="A338" s="2">
        <v>44501</v>
      </c>
      <c r="B338" t="s">
        <v>14</v>
      </c>
      <c r="C338" t="s">
        <v>15</v>
      </c>
      <c r="D338" t="s">
        <v>16</v>
      </c>
      <c r="E338" t="s">
        <v>8</v>
      </c>
      <c r="F338" s="3">
        <v>20916</v>
      </c>
      <c r="G338" s="3">
        <v>15000</v>
      </c>
      <c r="H338" s="3">
        <f t="shared" si="5"/>
        <v>2091.6</v>
      </c>
      <c r="I338" t="s">
        <v>9</v>
      </c>
    </row>
    <row r="339" spans="1:9" x14ac:dyDescent="0.35">
      <c r="A339" s="2">
        <v>44501</v>
      </c>
      <c r="B339" t="s">
        <v>14</v>
      </c>
      <c r="C339" t="s">
        <v>15</v>
      </c>
      <c r="D339" t="s">
        <v>16</v>
      </c>
      <c r="E339" t="s">
        <v>8</v>
      </c>
      <c r="F339" s="3">
        <v>22396.5</v>
      </c>
      <c r="G339" s="3">
        <v>15000</v>
      </c>
      <c r="H339" s="3">
        <f t="shared" si="5"/>
        <v>2239.65</v>
      </c>
      <c r="I339" t="s">
        <v>41</v>
      </c>
    </row>
    <row r="340" spans="1:9" x14ac:dyDescent="0.35">
      <c r="A340" s="2">
        <v>44501</v>
      </c>
      <c r="B340" t="s">
        <v>10</v>
      </c>
      <c r="C340" t="s">
        <v>11</v>
      </c>
      <c r="D340" t="s">
        <v>12</v>
      </c>
      <c r="E340" t="s">
        <v>8</v>
      </c>
      <c r="F340" s="3">
        <v>25633.5</v>
      </c>
      <c r="G340" s="3">
        <v>15000</v>
      </c>
      <c r="H340" s="3">
        <f t="shared" si="5"/>
        <v>2563.3500000000004</v>
      </c>
      <c r="I340" t="s">
        <v>13</v>
      </c>
    </row>
    <row r="341" spans="1:9" x14ac:dyDescent="0.35">
      <c r="A341" s="2">
        <v>44501</v>
      </c>
      <c r="B341" t="s">
        <v>14</v>
      </c>
      <c r="C341" t="s">
        <v>15</v>
      </c>
      <c r="D341" t="s">
        <v>16</v>
      </c>
      <c r="E341" t="s">
        <v>8</v>
      </c>
      <c r="F341" s="3">
        <v>37374.399999999994</v>
      </c>
      <c r="G341" s="3">
        <v>15000</v>
      </c>
      <c r="H341" s="3">
        <f t="shared" si="5"/>
        <v>3737.4399999999996</v>
      </c>
      <c r="I341" t="s">
        <v>41</v>
      </c>
    </row>
    <row r="342" spans="1:9" x14ac:dyDescent="0.35">
      <c r="A342" s="2">
        <v>44501</v>
      </c>
      <c r="B342" t="s">
        <v>51</v>
      </c>
      <c r="C342" t="s">
        <v>52</v>
      </c>
      <c r="D342" t="s">
        <v>53</v>
      </c>
      <c r="E342" t="s">
        <v>20</v>
      </c>
      <c r="F342" s="3">
        <v>6900</v>
      </c>
      <c r="G342" s="3">
        <v>15000</v>
      </c>
      <c r="H342" s="3" t="str">
        <f t="shared" si="5"/>
        <v>$_</v>
      </c>
      <c r="I342" t="s">
        <v>13</v>
      </c>
    </row>
    <row r="343" spans="1:9" x14ac:dyDescent="0.35">
      <c r="A343" s="2">
        <v>44501</v>
      </c>
      <c r="B343" t="s">
        <v>63</v>
      </c>
      <c r="C343" t="s">
        <v>64</v>
      </c>
      <c r="D343" t="s">
        <v>65</v>
      </c>
      <c r="E343" t="s">
        <v>20</v>
      </c>
      <c r="F343" s="3">
        <v>9683</v>
      </c>
      <c r="G343" s="3">
        <v>15000</v>
      </c>
      <c r="H343" s="3" t="str">
        <f t="shared" si="5"/>
        <v>$_</v>
      </c>
      <c r="I343" t="s">
        <v>41</v>
      </c>
    </row>
    <row r="344" spans="1:9" x14ac:dyDescent="0.35">
      <c r="A344" s="2">
        <v>44501</v>
      </c>
      <c r="B344" t="s">
        <v>42</v>
      </c>
      <c r="C344" t="s">
        <v>43</v>
      </c>
      <c r="D344" t="s">
        <v>44</v>
      </c>
      <c r="E344" t="s">
        <v>20</v>
      </c>
      <c r="F344" s="3">
        <v>14302.9</v>
      </c>
      <c r="G344" s="3">
        <v>15000</v>
      </c>
      <c r="H344" s="3" t="str">
        <f t="shared" si="5"/>
        <v>$_</v>
      </c>
      <c r="I344" t="s">
        <v>9</v>
      </c>
    </row>
    <row r="345" spans="1:9" x14ac:dyDescent="0.35">
      <c r="A345" s="2">
        <v>44501</v>
      </c>
      <c r="B345" t="s">
        <v>17</v>
      </c>
      <c r="C345" t="s">
        <v>18</v>
      </c>
      <c r="D345" t="s">
        <v>19</v>
      </c>
      <c r="E345" t="s">
        <v>20</v>
      </c>
      <c r="F345" s="3">
        <v>16806.400000000001</v>
      </c>
      <c r="G345" s="3">
        <v>15000</v>
      </c>
      <c r="H345" s="3">
        <f t="shared" si="5"/>
        <v>1680.6400000000003</v>
      </c>
      <c r="I345" t="s">
        <v>9</v>
      </c>
    </row>
    <row r="346" spans="1:9" x14ac:dyDescent="0.35">
      <c r="A346" s="2">
        <v>44501</v>
      </c>
      <c r="B346" t="s">
        <v>35</v>
      </c>
      <c r="C346" t="s">
        <v>36</v>
      </c>
      <c r="D346" t="s">
        <v>37</v>
      </c>
      <c r="E346" t="s">
        <v>20</v>
      </c>
      <c r="F346" s="3">
        <v>20797.200000000004</v>
      </c>
      <c r="G346" s="3">
        <v>15000</v>
      </c>
      <c r="H346" s="3">
        <f t="shared" si="5"/>
        <v>2079.7200000000007</v>
      </c>
      <c r="I346" t="s">
        <v>13</v>
      </c>
    </row>
    <row r="347" spans="1:9" x14ac:dyDescent="0.35">
      <c r="A347" s="2">
        <v>44501</v>
      </c>
      <c r="B347" t="s">
        <v>63</v>
      </c>
      <c r="C347" t="s">
        <v>64</v>
      </c>
      <c r="D347" t="s">
        <v>65</v>
      </c>
      <c r="E347" t="s">
        <v>20</v>
      </c>
      <c r="F347" s="3">
        <v>26866</v>
      </c>
      <c r="G347" s="3">
        <v>15000</v>
      </c>
      <c r="H347" s="3">
        <f t="shared" si="5"/>
        <v>2686.6000000000004</v>
      </c>
      <c r="I347" t="s">
        <v>41</v>
      </c>
    </row>
    <row r="348" spans="1:9" x14ac:dyDescent="0.35">
      <c r="A348" s="2">
        <v>44501</v>
      </c>
      <c r="B348" t="s">
        <v>69</v>
      </c>
      <c r="C348" t="s">
        <v>70</v>
      </c>
      <c r="D348" t="s">
        <v>71</v>
      </c>
      <c r="E348" t="s">
        <v>31</v>
      </c>
      <c r="F348" s="3">
        <v>9292.5</v>
      </c>
      <c r="G348" s="3">
        <v>15000</v>
      </c>
      <c r="H348" s="3" t="str">
        <f t="shared" si="5"/>
        <v>$_</v>
      </c>
      <c r="I348" t="s">
        <v>13</v>
      </c>
    </row>
    <row r="349" spans="1:9" x14ac:dyDescent="0.35">
      <c r="A349" s="2">
        <v>44501</v>
      </c>
      <c r="B349" t="s">
        <v>57</v>
      </c>
      <c r="C349" t="s">
        <v>58</v>
      </c>
      <c r="D349" t="s">
        <v>59</v>
      </c>
      <c r="E349" t="s">
        <v>31</v>
      </c>
      <c r="F349" s="3">
        <v>28761.599999999999</v>
      </c>
      <c r="G349" s="3">
        <v>15000</v>
      </c>
      <c r="H349" s="3">
        <f t="shared" si="5"/>
        <v>2876.16</v>
      </c>
      <c r="I349" t="s">
        <v>41</v>
      </c>
    </row>
    <row r="350" spans="1:9" x14ac:dyDescent="0.35">
      <c r="A350" s="2">
        <v>44501</v>
      </c>
      <c r="B350" t="s">
        <v>38</v>
      </c>
      <c r="C350" t="s">
        <v>39</v>
      </c>
      <c r="D350" t="s">
        <v>40</v>
      </c>
      <c r="E350" t="s">
        <v>31</v>
      </c>
      <c r="F350" s="3">
        <v>41932.799999999996</v>
      </c>
      <c r="G350" s="3">
        <v>15000</v>
      </c>
      <c r="H350" s="3">
        <f t="shared" si="5"/>
        <v>4193.28</v>
      </c>
      <c r="I350" t="s">
        <v>9</v>
      </c>
    </row>
    <row r="351" spans="1:9" x14ac:dyDescent="0.35">
      <c r="A351" s="2">
        <v>44501</v>
      </c>
      <c r="B351" t="s">
        <v>28</v>
      </c>
      <c r="C351" t="s">
        <v>29</v>
      </c>
      <c r="D351" t="s">
        <v>30</v>
      </c>
      <c r="E351" t="s">
        <v>31</v>
      </c>
      <c r="F351" s="3">
        <v>42427</v>
      </c>
      <c r="G351" s="3">
        <v>15000</v>
      </c>
      <c r="H351" s="3">
        <f t="shared" si="5"/>
        <v>4242.7</v>
      </c>
      <c r="I351" t="s">
        <v>13</v>
      </c>
    </row>
    <row r="352" spans="1:9" x14ac:dyDescent="0.35">
      <c r="A352" s="2">
        <v>44501</v>
      </c>
      <c r="B352" t="s">
        <v>69</v>
      </c>
      <c r="C352" t="s">
        <v>70</v>
      </c>
      <c r="D352" t="s">
        <v>71</v>
      </c>
      <c r="E352" t="s">
        <v>31</v>
      </c>
      <c r="F352" s="3">
        <v>47510.400000000001</v>
      </c>
      <c r="G352" s="3">
        <v>15000</v>
      </c>
      <c r="H352" s="3">
        <f t="shared" si="5"/>
        <v>4751.04</v>
      </c>
      <c r="I352" t="s">
        <v>13</v>
      </c>
    </row>
    <row r="353" spans="1:9" x14ac:dyDescent="0.35">
      <c r="A353" s="2">
        <v>44501</v>
      </c>
      <c r="B353" t="s">
        <v>32</v>
      </c>
      <c r="C353" t="s">
        <v>33</v>
      </c>
      <c r="D353" t="s">
        <v>34</v>
      </c>
      <c r="E353" t="s">
        <v>24</v>
      </c>
      <c r="F353" s="3">
        <v>9006</v>
      </c>
      <c r="G353" s="3">
        <v>15000</v>
      </c>
      <c r="H353" s="3" t="str">
        <f t="shared" si="5"/>
        <v>$_</v>
      </c>
      <c r="I353" t="s">
        <v>41</v>
      </c>
    </row>
    <row r="354" spans="1:9" x14ac:dyDescent="0.35">
      <c r="A354" s="2">
        <v>44501</v>
      </c>
      <c r="B354" t="s">
        <v>48</v>
      </c>
      <c r="C354" t="s">
        <v>49</v>
      </c>
      <c r="D354" t="s">
        <v>50</v>
      </c>
      <c r="E354" t="s">
        <v>24</v>
      </c>
      <c r="F354" s="3">
        <v>10573.5</v>
      </c>
      <c r="G354" s="3">
        <v>15000</v>
      </c>
      <c r="H354" s="3" t="str">
        <f t="shared" si="5"/>
        <v>$_</v>
      </c>
      <c r="I354" t="s">
        <v>9</v>
      </c>
    </row>
    <row r="355" spans="1:9" x14ac:dyDescent="0.35">
      <c r="A355" s="2">
        <v>44501</v>
      </c>
      <c r="B355" t="s">
        <v>45</v>
      </c>
      <c r="C355" t="s">
        <v>46</v>
      </c>
      <c r="D355" t="s">
        <v>47</v>
      </c>
      <c r="E355" t="s">
        <v>24</v>
      </c>
      <c r="F355" s="3">
        <v>13230</v>
      </c>
      <c r="G355" s="3">
        <v>15000</v>
      </c>
      <c r="H355" s="3" t="str">
        <f t="shared" si="5"/>
        <v>$_</v>
      </c>
      <c r="I355" t="s">
        <v>13</v>
      </c>
    </row>
    <row r="356" spans="1:9" x14ac:dyDescent="0.35">
      <c r="A356" s="2">
        <v>44501</v>
      </c>
      <c r="B356" t="s">
        <v>21</v>
      </c>
      <c r="C356" t="s">
        <v>22</v>
      </c>
      <c r="D356" t="s">
        <v>23</v>
      </c>
      <c r="E356" t="s">
        <v>24</v>
      </c>
      <c r="F356" s="3">
        <v>15403.600000000002</v>
      </c>
      <c r="G356" s="3">
        <v>15000</v>
      </c>
      <c r="H356" s="3">
        <f t="shared" si="5"/>
        <v>1540.3600000000004</v>
      </c>
      <c r="I356" t="s">
        <v>13</v>
      </c>
    </row>
    <row r="357" spans="1:9" x14ac:dyDescent="0.35">
      <c r="A357" s="2">
        <v>44501</v>
      </c>
      <c r="B357" t="s">
        <v>32</v>
      </c>
      <c r="C357" t="s">
        <v>33</v>
      </c>
      <c r="D357" t="s">
        <v>34</v>
      </c>
      <c r="E357" t="s">
        <v>24</v>
      </c>
      <c r="F357" s="3">
        <v>16394.399999999998</v>
      </c>
      <c r="G357" s="3">
        <v>15000</v>
      </c>
      <c r="H357" s="3">
        <f t="shared" si="5"/>
        <v>1639.4399999999998</v>
      </c>
      <c r="I357" t="s">
        <v>13</v>
      </c>
    </row>
    <row r="358" spans="1:9" x14ac:dyDescent="0.35">
      <c r="A358" s="2">
        <v>44501</v>
      </c>
      <c r="B358" t="s">
        <v>32</v>
      </c>
      <c r="C358" t="s">
        <v>33</v>
      </c>
      <c r="D358" t="s">
        <v>34</v>
      </c>
      <c r="E358" t="s">
        <v>24</v>
      </c>
      <c r="F358" s="3">
        <v>16606</v>
      </c>
      <c r="G358" s="3">
        <v>15000</v>
      </c>
      <c r="H358" s="3">
        <f t="shared" si="5"/>
        <v>1660.6000000000001</v>
      </c>
      <c r="I358" t="s">
        <v>41</v>
      </c>
    </row>
    <row r="359" spans="1:9" x14ac:dyDescent="0.35">
      <c r="A359" s="2">
        <v>44501</v>
      </c>
      <c r="B359" t="s">
        <v>21</v>
      </c>
      <c r="C359" t="s">
        <v>22</v>
      </c>
      <c r="D359" t="s">
        <v>23</v>
      </c>
      <c r="E359" t="s">
        <v>24</v>
      </c>
      <c r="F359" s="3">
        <v>18452.599999999999</v>
      </c>
      <c r="G359" s="3">
        <v>15000</v>
      </c>
      <c r="H359" s="3">
        <f t="shared" si="5"/>
        <v>1845.26</v>
      </c>
      <c r="I359" t="s">
        <v>41</v>
      </c>
    </row>
    <row r="360" spans="1:9" x14ac:dyDescent="0.35">
      <c r="A360" s="2">
        <v>44501</v>
      </c>
      <c r="B360" t="s">
        <v>48</v>
      </c>
      <c r="C360" t="s">
        <v>49</v>
      </c>
      <c r="D360" t="s">
        <v>50</v>
      </c>
      <c r="E360" t="s">
        <v>24</v>
      </c>
      <c r="F360" s="3">
        <v>20062.5</v>
      </c>
      <c r="G360" s="3">
        <v>15000</v>
      </c>
      <c r="H360" s="3">
        <f t="shared" si="5"/>
        <v>2006.25</v>
      </c>
      <c r="I360" t="s">
        <v>9</v>
      </c>
    </row>
    <row r="361" spans="1:9" x14ac:dyDescent="0.35">
      <c r="A361" s="2">
        <v>44501</v>
      </c>
      <c r="B361" t="s">
        <v>54</v>
      </c>
      <c r="C361" t="s">
        <v>55</v>
      </c>
      <c r="D361" t="s">
        <v>56</v>
      </c>
      <c r="E361" t="s">
        <v>24</v>
      </c>
      <c r="F361" s="3">
        <v>22900.499999999996</v>
      </c>
      <c r="G361" s="3">
        <v>15000</v>
      </c>
      <c r="H361" s="3">
        <f t="shared" si="5"/>
        <v>2290.0499999999997</v>
      </c>
      <c r="I361" t="s">
        <v>9</v>
      </c>
    </row>
    <row r="362" spans="1:9" x14ac:dyDescent="0.35">
      <c r="A362" s="2">
        <v>44501</v>
      </c>
      <c r="B362" t="s">
        <v>54</v>
      </c>
      <c r="C362" t="s">
        <v>55</v>
      </c>
      <c r="D362" t="s">
        <v>56</v>
      </c>
      <c r="E362" t="s">
        <v>24</v>
      </c>
      <c r="F362" s="3">
        <v>23057.999999999996</v>
      </c>
      <c r="G362" s="3">
        <v>15000</v>
      </c>
      <c r="H362" s="3">
        <f t="shared" si="5"/>
        <v>2305.7999999999997</v>
      </c>
      <c r="I362" t="s">
        <v>41</v>
      </c>
    </row>
    <row r="363" spans="1:9" x14ac:dyDescent="0.35">
      <c r="A363" s="2">
        <v>44501</v>
      </c>
      <c r="B363" t="s">
        <v>32</v>
      </c>
      <c r="C363" t="s">
        <v>33</v>
      </c>
      <c r="D363" t="s">
        <v>34</v>
      </c>
      <c r="E363" t="s">
        <v>24</v>
      </c>
      <c r="F363" s="3">
        <v>37560</v>
      </c>
      <c r="G363" s="3">
        <v>15000</v>
      </c>
      <c r="H363" s="3">
        <f t="shared" si="5"/>
        <v>3756</v>
      </c>
      <c r="I363" t="s">
        <v>41</v>
      </c>
    </row>
    <row r="364" spans="1:9" x14ac:dyDescent="0.35">
      <c r="A364" s="2">
        <v>44501</v>
      </c>
      <c r="B364" t="s">
        <v>48</v>
      </c>
      <c r="C364" t="s">
        <v>49</v>
      </c>
      <c r="D364" t="s">
        <v>50</v>
      </c>
      <c r="E364" t="s">
        <v>24</v>
      </c>
      <c r="F364" s="3">
        <v>38570</v>
      </c>
      <c r="G364" s="3">
        <v>15000</v>
      </c>
      <c r="H364" s="3">
        <f t="shared" si="5"/>
        <v>3857</v>
      </c>
      <c r="I364" t="s">
        <v>9</v>
      </c>
    </row>
    <row r="365" spans="1:9" x14ac:dyDescent="0.35">
      <c r="A365" s="2">
        <v>44501</v>
      </c>
      <c r="B365" t="s">
        <v>21</v>
      </c>
      <c r="C365" t="s">
        <v>22</v>
      </c>
      <c r="D365" t="s">
        <v>23</v>
      </c>
      <c r="E365" t="s">
        <v>24</v>
      </c>
      <c r="F365" s="3">
        <v>39199.599999999999</v>
      </c>
      <c r="G365" s="3">
        <v>15000</v>
      </c>
      <c r="H365" s="3">
        <f t="shared" si="5"/>
        <v>3919.96</v>
      </c>
      <c r="I365" t="s">
        <v>41</v>
      </c>
    </row>
    <row r="366" spans="1:9" x14ac:dyDescent="0.35">
      <c r="A366" s="2">
        <v>44531</v>
      </c>
      <c r="B366" t="s">
        <v>10</v>
      </c>
      <c r="C366" t="s">
        <v>11</v>
      </c>
      <c r="D366" t="s">
        <v>12</v>
      </c>
      <c r="E366" t="s">
        <v>8</v>
      </c>
      <c r="F366" s="3">
        <v>3817.9999999999995</v>
      </c>
      <c r="G366" s="3">
        <v>15000</v>
      </c>
      <c r="H366" s="3" t="str">
        <f t="shared" si="5"/>
        <v>$_</v>
      </c>
      <c r="I366" t="s">
        <v>9</v>
      </c>
    </row>
    <row r="367" spans="1:9" x14ac:dyDescent="0.35">
      <c r="A367" s="2">
        <v>44531</v>
      </c>
      <c r="B367" t="s">
        <v>14</v>
      </c>
      <c r="C367" t="s">
        <v>15</v>
      </c>
      <c r="D367" t="s">
        <v>16</v>
      </c>
      <c r="E367" t="s">
        <v>8</v>
      </c>
      <c r="F367" s="3">
        <v>8683.1999999999989</v>
      </c>
      <c r="G367" s="3">
        <v>15000</v>
      </c>
      <c r="H367" s="3" t="str">
        <f t="shared" si="5"/>
        <v>$_</v>
      </c>
      <c r="I367" t="s">
        <v>13</v>
      </c>
    </row>
    <row r="368" spans="1:9" x14ac:dyDescent="0.35">
      <c r="A368" s="2">
        <v>44531</v>
      </c>
      <c r="B368" t="s">
        <v>5</v>
      </c>
      <c r="C368" t="s">
        <v>6</v>
      </c>
      <c r="D368" t="s">
        <v>7</v>
      </c>
      <c r="E368" t="s">
        <v>8</v>
      </c>
      <c r="F368" s="3">
        <v>11210</v>
      </c>
      <c r="G368" s="3">
        <v>15000</v>
      </c>
      <c r="H368" s="3" t="str">
        <f t="shared" si="5"/>
        <v>$_</v>
      </c>
      <c r="I368" t="s">
        <v>41</v>
      </c>
    </row>
    <row r="369" spans="1:9" x14ac:dyDescent="0.35">
      <c r="A369" s="2">
        <v>44531</v>
      </c>
      <c r="B369" t="s">
        <v>25</v>
      </c>
      <c r="C369" t="s">
        <v>26</v>
      </c>
      <c r="D369" t="s">
        <v>27</v>
      </c>
      <c r="E369" t="s">
        <v>8</v>
      </c>
      <c r="F369" s="3">
        <v>12765.2</v>
      </c>
      <c r="G369" s="3">
        <v>15000</v>
      </c>
      <c r="H369" s="3" t="str">
        <f t="shared" si="5"/>
        <v>$_</v>
      </c>
      <c r="I369" t="s">
        <v>41</v>
      </c>
    </row>
    <row r="370" spans="1:9" x14ac:dyDescent="0.35">
      <c r="A370" s="2">
        <v>44531</v>
      </c>
      <c r="B370" t="s">
        <v>10</v>
      </c>
      <c r="C370" t="s">
        <v>11</v>
      </c>
      <c r="D370" t="s">
        <v>12</v>
      </c>
      <c r="E370" t="s">
        <v>8</v>
      </c>
      <c r="F370" s="3">
        <v>15921.999999999998</v>
      </c>
      <c r="G370" s="3">
        <v>15000</v>
      </c>
      <c r="H370" s="3">
        <f t="shared" si="5"/>
        <v>1592.1999999999998</v>
      </c>
      <c r="I370" t="s">
        <v>41</v>
      </c>
    </row>
    <row r="371" spans="1:9" x14ac:dyDescent="0.35">
      <c r="A371" s="2">
        <v>44531</v>
      </c>
      <c r="B371" t="s">
        <v>25</v>
      </c>
      <c r="C371" t="s">
        <v>26</v>
      </c>
      <c r="D371" t="s">
        <v>27</v>
      </c>
      <c r="E371" t="s">
        <v>8</v>
      </c>
      <c r="F371" s="3">
        <v>31970.799999999999</v>
      </c>
      <c r="G371" s="3">
        <v>15000</v>
      </c>
      <c r="H371" s="3">
        <f t="shared" si="5"/>
        <v>3197.08</v>
      </c>
      <c r="I371" t="s">
        <v>9</v>
      </c>
    </row>
    <row r="372" spans="1:9" x14ac:dyDescent="0.35">
      <c r="A372" s="2">
        <v>44531</v>
      </c>
      <c r="B372" t="s">
        <v>5</v>
      </c>
      <c r="C372" t="s">
        <v>6</v>
      </c>
      <c r="D372" t="s">
        <v>7</v>
      </c>
      <c r="E372" t="s">
        <v>8</v>
      </c>
      <c r="F372" s="3">
        <v>41520</v>
      </c>
      <c r="G372" s="3">
        <v>15000</v>
      </c>
      <c r="H372" s="3">
        <f t="shared" si="5"/>
        <v>4152</v>
      </c>
      <c r="I372" t="s">
        <v>9</v>
      </c>
    </row>
    <row r="373" spans="1:9" x14ac:dyDescent="0.35">
      <c r="A373" s="2">
        <v>44531</v>
      </c>
      <c r="B373" t="s">
        <v>5</v>
      </c>
      <c r="C373" t="s">
        <v>6</v>
      </c>
      <c r="D373" t="s">
        <v>7</v>
      </c>
      <c r="E373" t="s">
        <v>8</v>
      </c>
      <c r="F373" s="3">
        <v>45800.999999999993</v>
      </c>
      <c r="G373" s="3">
        <v>15000</v>
      </c>
      <c r="H373" s="3">
        <f t="shared" si="5"/>
        <v>4580.0999999999995</v>
      </c>
      <c r="I373" t="s">
        <v>13</v>
      </c>
    </row>
    <row r="374" spans="1:9" x14ac:dyDescent="0.35">
      <c r="A374" s="2">
        <v>44531</v>
      </c>
      <c r="B374" t="s">
        <v>63</v>
      </c>
      <c r="C374" t="s">
        <v>64</v>
      </c>
      <c r="D374" t="s">
        <v>65</v>
      </c>
      <c r="E374" t="s">
        <v>20</v>
      </c>
      <c r="F374" s="3">
        <v>7009.2000000000007</v>
      </c>
      <c r="G374" s="3">
        <v>15000</v>
      </c>
      <c r="H374" s="3" t="str">
        <f t="shared" si="5"/>
        <v>$_</v>
      </c>
      <c r="I374" t="s">
        <v>13</v>
      </c>
    </row>
    <row r="375" spans="1:9" x14ac:dyDescent="0.35">
      <c r="A375" s="2">
        <v>44531</v>
      </c>
      <c r="B375" t="s">
        <v>51</v>
      </c>
      <c r="C375" t="s">
        <v>52</v>
      </c>
      <c r="D375" t="s">
        <v>53</v>
      </c>
      <c r="E375" t="s">
        <v>20</v>
      </c>
      <c r="F375" s="3">
        <v>7088.9</v>
      </c>
      <c r="G375" s="3">
        <v>15000</v>
      </c>
      <c r="H375" s="3" t="str">
        <f t="shared" si="5"/>
        <v>$_</v>
      </c>
      <c r="I375" t="s">
        <v>9</v>
      </c>
    </row>
    <row r="376" spans="1:9" x14ac:dyDescent="0.35">
      <c r="A376" s="2">
        <v>44531</v>
      </c>
      <c r="B376" t="s">
        <v>63</v>
      </c>
      <c r="C376" t="s">
        <v>64</v>
      </c>
      <c r="D376" t="s">
        <v>65</v>
      </c>
      <c r="E376" t="s">
        <v>20</v>
      </c>
      <c r="F376" s="3">
        <v>8095.5</v>
      </c>
      <c r="G376" s="3">
        <v>15000</v>
      </c>
      <c r="H376" s="3" t="str">
        <f t="shared" si="5"/>
        <v>$_</v>
      </c>
      <c r="I376" t="s">
        <v>9</v>
      </c>
    </row>
    <row r="377" spans="1:9" x14ac:dyDescent="0.35">
      <c r="A377" s="2">
        <v>44531</v>
      </c>
      <c r="B377" t="s">
        <v>17</v>
      </c>
      <c r="C377" t="s">
        <v>18</v>
      </c>
      <c r="D377" t="s">
        <v>19</v>
      </c>
      <c r="E377" t="s">
        <v>20</v>
      </c>
      <c r="F377" s="3">
        <v>8914.5</v>
      </c>
      <c r="G377" s="3">
        <v>15000</v>
      </c>
      <c r="H377" s="3" t="str">
        <f t="shared" si="5"/>
        <v>$_</v>
      </c>
      <c r="I377" t="s">
        <v>9</v>
      </c>
    </row>
    <row r="378" spans="1:9" x14ac:dyDescent="0.35">
      <c r="A378" s="2">
        <v>44531</v>
      </c>
      <c r="B378" t="s">
        <v>57</v>
      </c>
      <c r="C378" t="s">
        <v>58</v>
      </c>
      <c r="D378" t="s">
        <v>59</v>
      </c>
      <c r="E378" t="s">
        <v>31</v>
      </c>
      <c r="F378" s="3">
        <v>7721.5999999999995</v>
      </c>
      <c r="G378" s="3">
        <v>15000</v>
      </c>
      <c r="H378" s="3" t="str">
        <f t="shared" si="5"/>
        <v>$_</v>
      </c>
      <c r="I378" t="s">
        <v>9</v>
      </c>
    </row>
    <row r="379" spans="1:9" x14ac:dyDescent="0.35">
      <c r="A379" s="2">
        <v>44531</v>
      </c>
      <c r="B379" t="s">
        <v>38</v>
      </c>
      <c r="C379" t="s">
        <v>39</v>
      </c>
      <c r="D379" t="s">
        <v>40</v>
      </c>
      <c r="E379" t="s">
        <v>31</v>
      </c>
      <c r="F379" s="3">
        <v>8925.7000000000007</v>
      </c>
      <c r="G379" s="3">
        <v>15000</v>
      </c>
      <c r="H379" s="3" t="str">
        <f t="shared" si="5"/>
        <v>$_</v>
      </c>
      <c r="I379" t="s">
        <v>9</v>
      </c>
    </row>
    <row r="380" spans="1:9" x14ac:dyDescent="0.35">
      <c r="A380" s="2">
        <v>44531</v>
      </c>
      <c r="B380" t="s">
        <v>38</v>
      </c>
      <c r="C380" t="s">
        <v>39</v>
      </c>
      <c r="D380" t="s">
        <v>40</v>
      </c>
      <c r="E380" t="s">
        <v>31</v>
      </c>
      <c r="F380" s="3">
        <v>15802.6</v>
      </c>
      <c r="G380" s="3">
        <v>15000</v>
      </c>
      <c r="H380" s="3">
        <f t="shared" si="5"/>
        <v>1580.2600000000002</v>
      </c>
      <c r="I380" t="s">
        <v>41</v>
      </c>
    </row>
    <row r="381" spans="1:9" x14ac:dyDescent="0.35">
      <c r="A381" s="2">
        <v>44531</v>
      </c>
      <c r="B381" t="s">
        <v>69</v>
      </c>
      <c r="C381" t="s">
        <v>70</v>
      </c>
      <c r="D381" t="s">
        <v>71</v>
      </c>
      <c r="E381" t="s">
        <v>31</v>
      </c>
      <c r="F381" s="3">
        <v>21103.3</v>
      </c>
      <c r="G381" s="3">
        <v>15000</v>
      </c>
      <c r="H381" s="3">
        <f t="shared" si="5"/>
        <v>2110.33</v>
      </c>
      <c r="I381" t="s">
        <v>41</v>
      </c>
    </row>
    <row r="382" spans="1:9" x14ac:dyDescent="0.35">
      <c r="A382" s="2">
        <v>44531</v>
      </c>
      <c r="B382" t="s">
        <v>69</v>
      </c>
      <c r="C382" t="s">
        <v>70</v>
      </c>
      <c r="D382" t="s">
        <v>71</v>
      </c>
      <c r="E382" t="s">
        <v>31</v>
      </c>
      <c r="F382" s="3">
        <v>22351.100000000002</v>
      </c>
      <c r="G382" s="3">
        <v>15000</v>
      </c>
      <c r="H382" s="3">
        <f t="shared" si="5"/>
        <v>2235.11</v>
      </c>
      <c r="I382" t="s">
        <v>41</v>
      </c>
    </row>
    <row r="383" spans="1:9" x14ac:dyDescent="0.35">
      <c r="A383" s="2">
        <v>44531</v>
      </c>
      <c r="B383" t="s">
        <v>38</v>
      </c>
      <c r="C383" t="s">
        <v>39</v>
      </c>
      <c r="D383" t="s">
        <v>40</v>
      </c>
      <c r="E383" t="s">
        <v>31</v>
      </c>
      <c r="F383" s="3">
        <v>43974</v>
      </c>
      <c r="G383" s="3">
        <v>15000</v>
      </c>
      <c r="H383" s="3">
        <f t="shared" si="5"/>
        <v>4397.4000000000005</v>
      </c>
      <c r="I383" t="s">
        <v>9</v>
      </c>
    </row>
    <row r="384" spans="1:9" x14ac:dyDescent="0.35">
      <c r="A384" s="2">
        <v>44531</v>
      </c>
      <c r="B384" t="s">
        <v>32</v>
      </c>
      <c r="C384" t="s">
        <v>33</v>
      </c>
      <c r="D384" t="s">
        <v>34</v>
      </c>
      <c r="E384" t="s">
        <v>24</v>
      </c>
      <c r="F384" s="3">
        <v>8082.7999999999993</v>
      </c>
      <c r="G384" s="3">
        <v>15000</v>
      </c>
      <c r="H384" s="3" t="str">
        <f t="shared" si="5"/>
        <v>$_</v>
      </c>
      <c r="I384" t="s">
        <v>9</v>
      </c>
    </row>
    <row r="385" spans="1:9" x14ac:dyDescent="0.35">
      <c r="A385" s="2">
        <v>44531</v>
      </c>
      <c r="B385" t="s">
        <v>48</v>
      </c>
      <c r="C385" t="s">
        <v>49</v>
      </c>
      <c r="D385" t="s">
        <v>50</v>
      </c>
      <c r="E385" t="s">
        <v>24</v>
      </c>
      <c r="F385" s="3">
        <v>9826.4</v>
      </c>
      <c r="G385" s="3">
        <v>15000</v>
      </c>
      <c r="H385" s="3" t="str">
        <f t="shared" si="5"/>
        <v>$_</v>
      </c>
      <c r="I385" t="s">
        <v>41</v>
      </c>
    </row>
    <row r="386" spans="1:9" x14ac:dyDescent="0.35">
      <c r="A386" s="2">
        <v>44531</v>
      </c>
      <c r="B386" t="s">
        <v>54</v>
      </c>
      <c r="C386" t="s">
        <v>55</v>
      </c>
      <c r="D386" t="s">
        <v>56</v>
      </c>
      <c r="E386" t="s">
        <v>24</v>
      </c>
      <c r="F386" s="3">
        <v>12328</v>
      </c>
      <c r="G386" s="3">
        <v>15000</v>
      </c>
      <c r="H386" s="3" t="str">
        <f t="shared" ref="H386:H390" si="6">IF(F386&gt;=G386, F386*Commission, "$_")</f>
        <v>$_</v>
      </c>
      <c r="I386" t="s">
        <v>13</v>
      </c>
    </row>
    <row r="387" spans="1:9" x14ac:dyDescent="0.35">
      <c r="A387" s="2">
        <v>44531</v>
      </c>
      <c r="B387" t="s">
        <v>32</v>
      </c>
      <c r="C387" t="s">
        <v>33</v>
      </c>
      <c r="D387" t="s">
        <v>34</v>
      </c>
      <c r="E387" t="s">
        <v>24</v>
      </c>
      <c r="F387" s="3">
        <v>24544</v>
      </c>
      <c r="G387" s="3">
        <v>15000</v>
      </c>
      <c r="H387" s="3">
        <f t="shared" si="6"/>
        <v>2454.4</v>
      </c>
      <c r="I387" t="s">
        <v>13</v>
      </c>
    </row>
    <row r="388" spans="1:9" x14ac:dyDescent="0.35">
      <c r="A388" s="2">
        <v>44531</v>
      </c>
      <c r="B388" t="s">
        <v>21</v>
      </c>
      <c r="C388" t="s">
        <v>22</v>
      </c>
      <c r="D388" t="s">
        <v>23</v>
      </c>
      <c r="E388" t="s">
        <v>24</v>
      </c>
      <c r="F388" s="3">
        <v>27350.400000000001</v>
      </c>
      <c r="G388" s="3">
        <v>15000</v>
      </c>
      <c r="H388" s="3">
        <f t="shared" si="6"/>
        <v>2735.0400000000004</v>
      </c>
      <c r="I388" t="s">
        <v>41</v>
      </c>
    </row>
    <row r="389" spans="1:9" x14ac:dyDescent="0.35">
      <c r="A389" s="2">
        <v>44531</v>
      </c>
      <c r="B389" t="s">
        <v>45</v>
      </c>
      <c r="C389" t="s">
        <v>46</v>
      </c>
      <c r="D389" t="s">
        <v>47</v>
      </c>
      <c r="E389" t="s">
        <v>24</v>
      </c>
      <c r="F389" s="3">
        <v>28845</v>
      </c>
      <c r="G389" s="3">
        <v>15000</v>
      </c>
      <c r="H389" s="3">
        <f t="shared" si="6"/>
        <v>2884.5</v>
      </c>
      <c r="I389" t="s">
        <v>13</v>
      </c>
    </row>
    <row r="390" spans="1:9" x14ac:dyDescent="0.35">
      <c r="A390" s="2">
        <v>44531</v>
      </c>
      <c r="B390" t="s">
        <v>21</v>
      </c>
      <c r="C390" t="s">
        <v>22</v>
      </c>
      <c r="D390" t="s">
        <v>23</v>
      </c>
      <c r="E390" t="s">
        <v>24</v>
      </c>
      <c r="F390" s="3">
        <v>43593.599999999999</v>
      </c>
      <c r="G390" s="3">
        <v>15000</v>
      </c>
      <c r="H390" s="3">
        <f t="shared" si="6"/>
        <v>4359.3599999999997</v>
      </c>
      <c r="I390" t="s">
        <v>13</v>
      </c>
    </row>
    <row r="653" spans="1:9" x14ac:dyDescent="0.35">
      <c r="A653" s="1" t="s">
        <v>72</v>
      </c>
      <c r="B653" t="s">
        <v>64</v>
      </c>
      <c r="E653" t="s">
        <v>20</v>
      </c>
      <c r="F653" s="3">
        <v>3637.21</v>
      </c>
      <c r="I653" t="s">
        <v>9</v>
      </c>
    </row>
    <row r="654" spans="1:9" x14ac:dyDescent="0.35">
      <c r="A654" s="1" t="s">
        <v>72</v>
      </c>
      <c r="B654" t="s">
        <v>43</v>
      </c>
      <c r="E654" t="s">
        <v>20</v>
      </c>
      <c r="F654" s="3">
        <v>3918.6</v>
      </c>
      <c r="I654" t="s">
        <v>13</v>
      </c>
    </row>
    <row r="655" spans="1:9" x14ac:dyDescent="0.35">
      <c r="A655" s="1" t="s">
        <v>72</v>
      </c>
      <c r="B655" t="s">
        <v>18</v>
      </c>
      <c r="E655" t="s">
        <v>20</v>
      </c>
      <c r="F655" s="3">
        <v>694.54</v>
      </c>
      <c r="I655" t="s">
        <v>41</v>
      </c>
    </row>
    <row r="656" spans="1:9" x14ac:dyDescent="0.35">
      <c r="A656" s="1" t="s">
        <v>72</v>
      </c>
      <c r="B656" t="s">
        <v>64</v>
      </c>
      <c r="E656" t="s">
        <v>20</v>
      </c>
      <c r="F656" s="3">
        <v>3112.72</v>
      </c>
      <c r="I656" t="s">
        <v>41</v>
      </c>
    </row>
    <row r="657" spans="1:9" x14ac:dyDescent="0.35">
      <c r="A657" s="1" t="s">
        <v>72</v>
      </c>
      <c r="B657" t="s">
        <v>18</v>
      </c>
      <c r="E657" t="s">
        <v>20</v>
      </c>
      <c r="F657" s="3">
        <v>1001.92</v>
      </c>
      <c r="I657" t="s">
        <v>41</v>
      </c>
    </row>
    <row r="658" spans="1:9" x14ac:dyDescent="0.35">
      <c r="A658" s="1" t="s">
        <v>72</v>
      </c>
      <c r="B658" t="s">
        <v>52</v>
      </c>
      <c r="E658" t="s">
        <v>20</v>
      </c>
      <c r="F658" s="3">
        <v>1638.5600000000002</v>
      </c>
      <c r="I658" t="s">
        <v>9</v>
      </c>
    </row>
    <row r="659" spans="1:9" x14ac:dyDescent="0.35">
      <c r="A659" s="1" t="s">
        <v>72</v>
      </c>
      <c r="B659" t="s">
        <v>43</v>
      </c>
      <c r="E659" t="s">
        <v>20</v>
      </c>
      <c r="F659" s="3">
        <v>1910.8</v>
      </c>
      <c r="I659" t="s">
        <v>13</v>
      </c>
    </row>
    <row r="660" spans="1:9" x14ac:dyDescent="0.35">
      <c r="A660" s="1" t="s">
        <v>72</v>
      </c>
      <c r="B660" t="s">
        <v>18</v>
      </c>
      <c r="E660" t="s">
        <v>20</v>
      </c>
      <c r="F660" s="3">
        <v>765.82</v>
      </c>
      <c r="I660" t="s">
        <v>41</v>
      </c>
    </row>
    <row r="661" spans="1:9" x14ac:dyDescent="0.35">
      <c r="A661" s="1" t="s">
        <v>72</v>
      </c>
      <c r="B661" t="s">
        <v>43</v>
      </c>
      <c r="E661" t="s">
        <v>20</v>
      </c>
      <c r="F661" s="3">
        <v>765.8599999999999</v>
      </c>
      <c r="I661" t="s">
        <v>13</v>
      </c>
    </row>
    <row r="662" spans="1:9" x14ac:dyDescent="0.35">
      <c r="A662" s="1" t="s">
        <v>72</v>
      </c>
      <c r="B662" t="s">
        <v>64</v>
      </c>
      <c r="E662" t="s">
        <v>20</v>
      </c>
      <c r="F662" s="3">
        <v>4671.5999999999995</v>
      </c>
      <c r="I662" t="s">
        <v>9</v>
      </c>
    </row>
    <row r="663" spans="1:9" x14ac:dyDescent="0.35">
      <c r="A663" s="1" t="s">
        <v>72</v>
      </c>
      <c r="B663" t="s">
        <v>18</v>
      </c>
      <c r="E663" t="s">
        <v>20</v>
      </c>
      <c r="F663" s="3">
        <v>1945.6</v>
      </c>
      <c r="I663" t="s">
        <v>9</v>
      </c>
    </row>
    <row r="664" spans="1:9" x14ac:dyDescent="0.35">
      <c r="A664" s="1" t="s">
        <v>72</v>
      </c>
      <c r="B664" t="s">
        <v>43</v>
      </c>
      <c r="E664" t="s">
        <v>20</v>
      </c>
      <c r="F664" s="3">
        <v>1017.6</v>
      </c>
      <c r="I664" t="s">
        <v>13</v>
      </c>
    </row>
    <row r="665" spans="1:9" x14ac:dyDescent="0.35">
      <c r="A665" s="1" t="s">
        <v>72</v>
      </c>
      <c r="B665" t="s">
        <v>52</v>
      </c>
      <c r="E665" t="s">
        <v>20</v>
      </c>
      <c r="F665" s="3">
        <v>909.86</v>
      </c>
      <c r="I665" t="s">
        <v>41</v>
      </c>
    </row>
    <row r="666" spans="1:9" x14ac:dyDescent="0.35">
      <c r="A666" s="1" t="s">
        <v>73</v>
      </c>
      <c r="B666" t="s">
        <v>18</v>
      </c>
      <c r="E666" t="s">
        <v>20</v>
      </c>
      <c r="F666" s="3">
        <v>734.32</v>
      </c>
      <c r="I666" t="s">
        <v>13</v>
      </c>
    </row>
    <row r="667" spans="1:9" x14ac:dyDescent="0.35">
      <c r="A667" s="1" t="s">
        <v>73</v>
      </c>
      <c r="B667" t="s">
        <v>18</v>
      </c>
      <c r="E667" t="s">
        <v>20</v>
      </c>
      <c r="F667" s="3">
        <v>2839.55</v>
      </c>
      <c r="I667" t="s">
        <v>41</v>
      </c>
    </row>
    <row r="668" spans="1:9" x14ac:dyDescent="0.35">
      <c r="A668" s="1" t="s">
        <v>73</v>
      </c>
      <c r="B668" t="s">
        <v>18</v>
      </c>
      <c r="E668" t="s">
        <v>20</v>
      </c>
      <c r="F668" s="3">
        <v>453.09999999999997</v>
      </c>
      <c r="I668" t="s">
        <v>41</v>
      </c>
    </row>
    <row r="669" spans="1:9" x14ac:dyDescent="0.35">
      <c r="A669" s="1" t="s">
        <v>73</v>
      </c>
      <c r="B669" t="s">
        <v>36</v>
      </c>
      <c r="E669" t="s">
        <v>20</v>
      </c>
      <c r="F669" s="3">
        <v>1774.8</v>
      </c>
      <c r="I669" t="s">
        <v>9</v>
      </c>
    </row>
    <row r="670" spans="1:9" x14ac:dyDescent="0.35">
      <c r="A670" s="1" t="s">
        <v>73</v>
      </c>
      <c r="B670" t="s">
        <v>18</v>
      </c>
      <c r="E670" t="s">
        <v>20</v>
      </c>
      <c r="F670" s="3">
        <v>735.66</v>
      </c>
      <c r="I670" t="s">
        <v>9</v>
      </c>
    </row>
    <row r="671" spans="1:9" x14ac:dyDescent="0.35">
      <c r="A671" s="1" t="s">
        <v>73</v>
      </c>
      <c r="B671" t="s">
        <v>36</v>
      </c>
      <c r="E671" t="s">
        <v>20</v>
      </c>
      <c r="F671" s="3">
        <v>675.18</v>
      </c>
      <c r="I671" t="s">
        <v>13</v>
      </c>
    </row>
    <row r="672" spans="1:9" x14ac:dyDescent="0.35">
      <c r="A672" s="1" t="s">
        <v>73</v>
      </c>
      <c r="B672" t="s">
        <v>43</v>
      </c>
      <c r="E672" t="s">
        <v>20</v>
      </c>
      <c r="F672" s="3">
        <v>4142.95</v>
      </c>
      <c r="I672" t="s">
        <v>13</v>
      </c>
    </row>
    <row r="673" spans="1:9" x14ac:dyDescent="0.35">
      <c r="A673" s="1" t="s">
        <v>74</v>
      </c>
      <c r="B673" t="s">
        <v>18</v>
      </c>
      <c r="E673" t="s">
        <v>20</v>
      </c>
      <c r="F673" s="3">
        <v>1045.1199999999999</v>
      </c>
      <c r="I673" t="s">
        <v>9</v>
      </c>
    </row>
    <row r="674" spans="1:9" x14ac:dyDescent="0.35">
      <c r="A674" s="1" t="s">
        <v>74</v>
      </c>
      <c r="B674" t="s">
        <v>43</v>
      </c>
      <c r="E674" t="s">
        <v>20</v>
      </c>
      <c r="F674" s="3">
        <v>1432.95</v>
      </c>
      <c r="I674" t="s">
        <v>9</v>
      </c>
    </row>
    <row r="675" spans="1:9" x14ac:dyDescent="0.35">
      <c r="A675" s="1" t="s">
        <v>74</v>
      </c>
      <c r="B675" t="s">
        <v>43</v>
      </c>
      <c r="E675" t="s">
        <v>20</v>
      </c>
      <c r="F675" s="3">
        <v>3140.7</v>
      </c>
      <c r="I675" t="s">
        <v>13</v>
      </c>
    </row>
    <row r="676" spans="1:9" x14ac:dyDescent="0.35">
      <c r="A676" s="1" t="s">
        <v>74</v>
      </c>
      <c r="B676" t="s">
        <v>43</v>
      </c>
      <c r="E676" t="s">
        <v>20</v>
      </c>
      <c r="F676" s="3">
        <v>869.4</v>
      </c>
      <c r="I676" t="s">
        <v>9</v>
      </c>
    </row>
    <row r="677" spans="1:9" x14ac:dyDescent="0.35">
      <c r="A677" s="1" t="s">
        <v>74</v>
      </c>
      <c r="B677" t="s">
        <v>52</v>
      </c>
      <c r="E677" t="s">
        <v>20</v>
      </c>
      <c r="F677" s="3">
        <v>3564.75</v>
      </c>
      <c r="I677" t="s">
        <v>41</v>
      </c>
    </row>
    <row r="678" spans="1:9" x14ac:dyDescent="0.35">
      <c r="A678" s="1" t="s">
        <v>74</v>
      </c>
      <c r="B678" t="s">
        <v>43</v>
      </c>
      <c r="E678" t="s">
        <v>20</v>
      </c>
      <c r="F678" s="3">
        <v>911.6</v>
      </c>
      <c r="I678" t="s">
        <v>9</v>
      </c>
    </row>
    <row r="679" spans="1:9" x14ac:dyDescent="0.35">
      <c r="A679" s="1" t="s">
        <v>74</v>
      </c>
      <c r="B679" t="s">
        <v>52</v>
      </c>
      <c r="E679" t="s">
        <v>20</v>
      </c>
      <c r="F679" s="3">
        <v>1011.0299999999999</v>
      </c>
      <c r="I679" t="s">
        <v>9</v>
      </c>
    </row>
    <row r="680" spans="1:9" x14ac:dyDescent="0.35">
      <c r="A680" s="1" t="s">
        <v>74</v>
      </c>
      <c r="B680" t="s">
        <v>36</v>
      </c>
      <c r="E680" t="s">
        <v>20</v>
      </c>
      <c r="F680" s="3">
        <v>2795.68</v>
      </c>
      <c r="I680" t="s">
        <v>13</v>
      </c>
    </row>
    <row r="681" spans="1:9" x14ac:dyDescent="0.35">
      <c r="A681" s="1" t="s">
        <v>74</v>
      </c>
      <c r="B681" t="s">
        <v>36</v>
      </c>
      <c r="E681" t="s">
        <v>20</v>
      </c>
      <c r="F681" s="3">
        <v>2767.09</v>
      </c>
      <c r="I681" t="s">
        <v>41</v>
      </c>
    </row>
    <row r="682" spans="1:9" x14ac:dyDescent="0.35">
      <c r="A682" s="1" t="s">
        <v>74</v>
      </c>
      <c r="B682" t="s">
        <v>52</v>
      </c>
      <c r="E682" t="s">
        <v>20</v>
      </c>
      <c r="F682" s="3">
        <v>798.27</v>
      </c>
      <c r="I682" t="s">
        <v>41</v>
      </c>
    </row>
    <row r="683" spans="1:9" x14ac:dyDescent="0.35">
      <c r="A683" s="1" t="s">
        <v>74</v>
      </c>
      <c r="B683" t="s">
        <v>36</v>
      </c>
      <c r="E683" t="s">
        <v>20</v>
      </c>
      <c r="F683" s="3">
        <v>2510.2399999999998</v>
      </c>
      <c r="I683" t="s">
        <v>13</v>
      </c>
    </row>
    <row r="684" spans="1:9" x14ac:dyDescent="0.35">
      <c r="A684" s="1" t="s">
        <v>74</v>
      </c>
      <c r="B684" t="s">
        <v>52</v>
      </c>
      <c r="E684" t="s">
        <v>20</v>
      </c>
      <c r="F684" s="3">
        <v>3690.7200000000003</v>
      </c>
      <c r="I684" t="s">
        <v>13</v>
      </c>
    </row>
    <row r="685" spans="1:9" x14ac:dyDescent="0.35">
      <c r="A685" s="1" t="s">
        <v>74</v>
      </c>
      <c r="B685" t="s">
        <v>64</v>
      </c>
      <c r="E685" t="s">
        <v>20</v>
      </c>
      <c r="F685" s="3">
        <v>670.89</v>
      </c>
      <c r="I685" t="s">
        <v>41</v>
      </c>
    </row>
    <row r="686" spans="1:9" x14ac:dyDescent="0.35">
      <c r="A686" s="1" t="s">
        <v>74</v>
      </c>
      <c r="B686" t="s">
        <v>43</v>
      </c>
      <c r="E686" t="s">
        <v>20</v>
      </c>
      <c r="F686" s="3">
        <v>2012.8</v>
      </c>
      <c r="I686" t="s">
        <v>41</v>
      </c>
    </row>
    <row r="687" spans="1:9" x14ac:dyDescent="0.35">
      <c r="A687" s="1" t="s">
        <v>74</v>
      </c>
      <c r="B687" t="s">
        <v>64</v>
      </c>
      <c r="E687" t="s">
        <v>20</v>
      </c>
      <c r="F687" s="3">
        <v>2116.7999999999997</v>
      </c>
      <c r="I687" t="s">
        <v>9</v>
      </c>
    </row>
    <row r="688" spans="1:9" x14ac:dyDescent="0.35">
      <c r="A688" s="1" t="s">
        <v>74</v>
      </c>
      <c r="B688" t="s">
        <v>18</v>
      </c>
      <c r="E688" t="s">
        <v>20</v>
      </c>
      <c r="F688" s="3">
        <v>1158.04</v>
      </c>
      <c r="I688" t="s">
        <v>13</v>
      </c>
    </row>
    <row r="689" spans="1:9" x14ac:dyDescent="0.35">
      <c r="A689" s="1" t="s">
        <v>75</v>
      </c>
      <c r="B689" t="s">
        <v>18</v>
      </c>
      <c r="E689" t="s">
        <v>20</v>
      </c>
      <c r="F689" s="3">
        <v>1171.6500000000001</v>
      </c>
      <c r="I689" t="s">
        <v>9</v>
      </c>
    </row>
    <row r="690" spans="1:9" x14ac:dyDescent="0.35">
      <c r="A690" s="1" t="s">
        <v>75</v>
      </c>
      <c r="B690" t="s">
        <v>52</v>
      </c>
      <c r="E690" t="s">
        <v>20</v>
      </c>
      <c r="F690" s="3">
        <v>1696.8</v>
      </c>
      <c r="I690" t="s">
        <v>41</v>
      </c>
    </row>
    <row r="691" spans="1:9" x14ac:dyDescent="0.35">
      <c r="A691" s="1" t="s">
        <v>75</v>
      </c>
      <c r="B691" t="s">
        <v>52</v>
      </c>
      <c r="E691" t="s">
        <v>20</v>
      </c>
      <c r="F691" s="3">
        <v>569.64</v>
      </c>
      <c r="I691" t="s">
        <v>9</v>
      </c>
    </row>
    <row r="692" spans="1:9" x14ac:dyDescent="0.35">
      <c r="A692" s="1" t="s">
        <v>75</v>
      </c>
      <c r="B692" t="s">
        <v>52</v>
      </c>
      <c r="E692" t="s">
        <v>20</v>
      </c>
      <c r="F692" s="3">
        <v>1818.84</v>
      </c>
      <c r="I692" t="s">
        <v>13</v>
      </c>
    </row>
    <row r="693" spans="1:9" x14ac:dyDescent="0.35">
      <c r="A693" s="1" t="s">
        <v>75</v>
      </c>
      <c r="B693" t="s">
        <v>43</v>
      </c>
      <c r="E693" t="s">
        <v>20</v>
      </c>
      <c r="F693" s="3">
        <v>1799.35</v>
      </c>
      <c r="I693" t="s">
        <v>9</v>
      </c>
    </row>
    <row r="694" spans="1:9" x14ac:dyDescent="0.35">
      <c r="A694" s="1" t="s">
        <v>75</v>
      </c>
      <c r="B694" t="s">
        <v>18</v>
      </c>
      <c r="E694" t="s">
        <v>20</v>
      </c>
      <c r="F694" s="3">
        <v>1649.94</v>
      </c>
      <c r="I694" t="s">
        <v>13</v>
      </c>
    </row>
    <row r="695" spans="1:9" x14ac:dyDescent="0.35">
      <c r="A695" s="1" t="s">
        <v>75</v>
      </c>
      <c r="B695" t="s">
        <v>64</v>
      </c>
      <c r="E695" t="s">
        <v>20</v>
      </c>
      <c r="F695" s="3">
        <v>1441.6</v>
      </c>
      <c r="I695" t="s">
        <v>41</v>
      </c>
    </row>
    <row r="696" spans="1:9" x14ac:dyDescent="0.35">
      <c r="A696" s="1" t="s">
        <v>76</v>
      </c>
      <c r="B696" t="s">
        <v>64</v>
      </c>
      <c r="E696" t="s">
        <v>20</v>
      </c>
      <c r="F696" s="3">
        <v>900.48</v>
      </c>
      <c r="I696" t="s">
        <v>9</v>
      </c>
    </row>
    <row r="697" spans="1:9" x14ac:dyDescent="0.35">
      <c r="A697" s="1" t="s">
        <v>76</v>
      </c>
      <c r="B697" t="s">
        <v>64</v>
      </c>
      <c r="E697" t="s">
        <v>20</v>
      </c>
      <c r="F697" s="3">
        <v>4224.91</v>
      </c>
      <c r="I697" t="s">
        <v>13</v>
      </c>
    </row>
    <row r="698" spans="1:9" x14ac:dyDescent="0.35">
      <c r="A698" s="1" t="s">
        <v>76</v>
      </c>
      <c r="B698" t="s">
        <v>52</v>
      </c>
      <c r="E698" t="s">
        <v>20</v>
      </c>
      <c r="F698" s="3">
        <v>2399.7600000000002</v>
      </c>
      <c r="I698" t="s">
        <v>9</v>
      </c>
    </row>
    <row r="699" spans="1:9" x14ac:dyDescent="0.35">
      <c r="A699" s="1" t="s">
        <v>76</v>
      </c>
      <c r="B699" t="s">
        <v>64</v>
      </c>
      <c r="E699" t="s">
        <v>20</v>
      </c>
      <c r="F699" s="3">
        <v>2791.64</v>
      </c>
      <c r="I699" t="s">
        <v>41</v>
      </c>
    </row>
    <row r="700" spans="1:9" x14ac:dyDescent="0.35">
      <c r="A700" s="1" t="s">
        <v>76</v>
      </c>
      <c r="B700" t="s">
        <v>43</v>
      </c>
      <c r="E700" t="s">
        <v>20</v>
      </c>
      <c r="F700" s="3">
        <v>2071.7599999999998</v>
      </c>
      <c r="I700" t="s">
        <v>13</v>
      </c>
    </row>
    <row r="701" spans="1:9" x14ac:dyDescent="0.35">
      <c r="A701" s="1" t="s">
        <v>76</v>
      </c>
      <c r="B701" t="s">
        <v>52</v>
      </c>
      <c r="E701" t="s">
        <v>20</v>
      </c>
      <c r="F701" s="3">
        <v>1983.64</v>
      </c>
      <c r="I701" t="s">
        <v>9</v>
      </c>
    </row>
    <row r="702" spans="1:9" x14ac:dyDescent="0.35">
      <c r="A702" s="1" t="s">
        <v>76</v>
      </c>
      <c r="B702" t="s">
        <v>52</v>
      </c>
      <c r="E702" t="s">
        <v>20</v>
      </c>
      <c r="F702" s="3">
        <v>1961.75</v>
      </c>
      <c r="I702" t="s">
        <v>41</v>
      </c>
    </row>
    <row r="703" spans="1:9" x14ac:dyDescent="0.35">
      <c r="A703" s="1" t="s">
        <v>76</v>
      </c>
      <c r="B703" t="s">
        <v>52</v>
      </c>
      <c r="E703" t="s">
        <v>20</v>
      </c>
      <c r="F703" s="3">
        <v>1882.64</v>
      </c>
      <c r="I703" t="s">
        <v>41</v>
      </c>
    </row>
    <row r="704" spans="1:9" x14ac:dyDescent="0.35">
      <c r="A704" s="1" t="s">
        <v>76</v>
      </c>
      <c r="B704" t="s">
        <v>36</v>
      </c>
      <c r="E704" t="s">
        <v>20</v>
      </c>
      <c r="F704" s="3">
        <v>2336.4</v>
      </c>
      <c r="I704" t="s">
        <v>13</v>
      </c>
    </row>
    <row r="705" spans="1:9" x14ac:dyDescent="0.35">
      <c r="A705" s="1" t="s">
        <v>77</v>
      </c>
      <c r="B705" t="s">
        <v>43</v>
      </c>
      <c r="E705" t="s">
        <v>20</v>
      </c>
      <c r="F705" s="3">
        <v>957.48</v>
      </c>
      <c r="I705" t="s">
        <v>13</v>
      </c>
    </row>
    <row r="706" spans="1:9" x14ac:dyDescent="0.35">
      <c r="A706" s="1" t="s">
        <v>77</v>
      </c>
      <c r="B706" t="s">
        <v>36</v>
      </c>
      <c r="E706" t="s">
        <v>20</v>
      </c>
      <c r="F706" s="3">
        <v>1506.1200000000001</v>
      </c>
      <c r="I706" t="s">
        <v>13</v>
      </c>
    </row>
    <row r="707" spans="1:9" x14ac:dyDescent="0.35">
      <c r="A707" s="1" t="s">
        <v>77</v>
      </c>
      <c r="B707" t="s">
        <v>36</v>
      </c>
      <c r="E707" t="s">
        <v>20</v>
      </c>
      <c r="F707" s="3">
        <v>3965.3900000000003</v>
      </c>
      <c r="I707" t="s">
        <v>41</v>
      </c>
    </row>
    <row r="708" spans="1:9" x14ac:dyDescent="0.35">
      <c r="A708" s="1" t="s">
        <v>77</v>
      </c>
      <c r="B708" t="s">
        <v>64</v>
      </c>
      <c r="E708" t="s">
        <v>20</v>
      </c>
      <c r="F708" s="3">
        <v>3719.25</v>
      </c>
      <c r="I708" t="s">
        <v>41</v>
      </c>
    </row>
    <row r="709" spans="1:9" x14ac:dyDescent="0.35">
      <c r="A709" s="1" t="s">
        <v>77</v>
      </c>
      <c r="B709" t="s">
        <v>43</v>
      </c>
      <c r="E709" t="s">
        <v>20</v>
      </c>
      <c r="F709" s="3">
        <v>1430.16</v>
      </c>
      <c r="I709" t="s">
        <v>13</v>
      </c>
    </row>
    <row r="710" spans="1:9" x14ac:dyDescent="0.35">
      <c r="A710" s="1" t="s">
        <v>77</v>
      </c>
      <c r="B710" t="s">
        <v>52</v>
      </c>
      <c r="E710" t="s">
        <v>20</v>
      </c>
      <c r="F710" s="3">
        <v>1726.2</v>
      </c>
      <c r="I710" t="s">
        <v>13</v>
      </c>
    </row>
    <row r="711" spans="1:9" x14ac:dyDescent="0.35">
      <c r="A711" s="1" t="s">
        <v>78</v>
      </c>
      <c r="B711" t="s">
        <v>52</v>
      </c>
      <c r="E711" t="s">
        <v>20</v>
      </c>
      <c r="F711" s="3">
        <v>533.28</v>
      </c>
      <c r="I711" t="s">
        <v>13</v>
      </c>
    </row>
    <row r="712" spans="1:9" x14ac:dyDescent="0.35">
      <c r="A712" s="1" t="s">
        <v>78</v>
      </c>
      <c r="B712" t="s">
        <v>36</v>
      </c>
      <c r="E712" t="s">
        <v>20</v>
      </c>
      <c r="F712" s="3">
        <v>346.5</v>
      </c>
      <c r="I712" t="s">
        <v>13</v>
      </c>
    </row>
    <row r="713" spans="1:9" x14ac:dyDescent="0.35">
      <c r="A713" s="1" t="s">
        <v>78</v>
      </c>
      <c r="B713" t="s">
        <v>43</v>
      </c>
      <c r="E713" t="s">
        <v>20</v>
      </c>
      <c r="F713" s="3">
        <v>806.56</v>
      </c>
      <c r="I713" t="s">
        <v>41</v>
      </c>
    </row>
    <row r="714" spans="1:9" x14ac:dyDescent="0.35">
      <c r="A714" s="1" t="s">
        <v>78</v>
      </c>
      <c r="B714" t="s">
        <v>43</v>
      </c>
      <c r="E714" t="s">
        <v>20</v>
      </c>
      <c r="F714" s="3">
        <v>1154.3</v>
      </c>
      <c r="I714" t="s">
        <v>9</v>
      </c>
    </row>
    <row r="715" spans="1:9" x14ac:dyDescent="0.35">
      <c r="A715" s="1" t="s">
        <v>78</v>
      </c>
      <c r="B715" t="s">
        <v>64</v>
      </c>
      <c r="E715" t="s">
        <v>20</v>
      </c>
      <c r="F715" s="3">
        <v>1115.55</v>
      </c>
      <c r="I715" t="s">
        <v>9</v>
      </c>
    </row>
    <row r="716" spans="1:9" x14ac:dyDescent="0.35">
      <c r="A716" s="1" t="s">
        <v>78</v>
      </c>
      <c r="B716" t="s">
        <v>43</v>
      </c>
      <c r="E716" t="s">
        <v>20</v>
      </c>
      <c r="F716" s="3">
        <v>1064.8999999999999</v>
      </c>
      <c r="I716" t="s">
        <v>41</v>
      </c>
    </row>
    <row r="717" spans="1:9" x14ac:dyDescent="0.35">
      <c r="A717" s="1" t="s">
        <v>78</v>
      </c>
      <c r="B717" t="s">
        <v>43</v>
      </c>
      <c r="E717" t="s">
        <v>20</v>
      </c>
      <c r="F717" s="3">
        <v>2439.5100000000002</v>
      </c>
      <c r="I717" t="s">
        <v>9</v>
      </c>
    </row>
    <row r="718" spans="1:9" x14ac:dyDescent="0.35">
      <c r="A718" s="1" t="s">
        <v>78</v>
      </c>
      <c r="B718" t="s">
        <v>43</v>
      </c>
      <c r="E718" t="s">
        <v>20</v>
      </c>
      <c r="F718" s="3">
        <v>1563.32</v>
      </c>
      <c r="I718" t="s">
        <v>13</v>
      </c>
    </row>
    <row r="719" spans="1:9" x14ac:dyDescent="0.35">
      <c r="A719" s="1" t="s">
        <v>78</v>
      </c>
      <c r="B719" t="s">
        <v>52</v>
      </c>
      <c r="E719" t="s">
        <v>20</v>
      </c>
      <c r="F719" s="3">
        <v>1067.94</v>
      </c>
      <c r="I719" t="s">
        <v>41</v>
      </c>
    </row>
    <row r="720" spans="1:9" x14ac:dyDescent="0.35">
      <c r="A720" s="1" t="s">
        <v>78</v>
      </c>
      <c r="B720" t="s">
        <v>43</v>
      </c>
      <c r="E720" t="s">
        <v>20</v>
      </c>
      <c r="F720" s="3">
        <v>2086.8399999999997</v>
      </c>
      <c r="I720" t="s">
        <v>13</v>
      </c>
    </row>
    <row r="721" spans="1:9" x14ac:dyDescent="0.35">
      <c r="A721" s="1" t="s">
        <v>78</v>
      </c>
      <c r="B721" t="s">
        <v>43</v>
      </c>
      <c r="E721" t="s">
        <v>20</v>
      </c>
      <c r="F721" s="3">
        <v>1006.72</v>
      </c>
      <c r="I721" t="s">
        <v>41</v>
      </c>
    </row>
    <row r="722" spans="1:9" x14ac:dyDescent="0.35">
      <c r="A722" s="1" t="s">
        <v>79</v>
      </c>
      <c r="B722" t="s">
        <v>43</v>
      </c>
      <c r="E722" t="s">
        <v>20</v>
      </c>
      <c r="F722" s="3">
        <v>376.05</v>
      </c>
      <c r="I722" t="s">
        <v>9</v>
      </c>
    </row>
    <row r="723" spans="1:9" x14ac:dyDescent="0.35">
      <c r="A723" s="1" t="s">
        <v>79</v>
      </c>
      <c r="B723" t="s">
        <v>52</v>
      </c>
      <c r="E723" t="s">
        <v>20</v>
      </c>
      <c r="F723" s="3">
        <v>3608.81</v>
      </c>
      <c r="I723" t="s">
        <v>41</v>
      </c>
    </row>
    <row r="724" spans="1:9" x14ac:dyDescent="0.35">
      <c r="A724" s="1" t="s">
        <v>79</v>
      </c>
      <c r="B724" t="s">
        <v>43</v>
      </c>
      <c r="E724" t="s">
        <v>20</v>
      </c>
      <c r="F724" s="3">
        <v>969.76</v>
      </c>
      <c r="I724" t="s">
        <v>13</v>
      </c>
    </row>
    <row r="725" spans="1:9" x14ac:dyDescent="0.35">
      <c r="A725" s="1" t="s">
        <v>79</v>
      </c>
      <c r="B725" t="s">
        <v>52</v>
      </c>
      <c r="E725" t="s">
        <v>20</v>
      </c>
      <c r="F725" s="3">
        <v>2247.79</v>
      </c>
      <c r="I725" t="s">
        <v>13</v>
      </c>
    </row>
    <row r="726" spans="1:9" x14ac:dyDescent="0.35">
      <c r="A726" s="1" t="s">
        <v>79</v>
      </c>
      <c r="B726" t="s">
        <v>43</v>
      </c>
      <c r="E726" t="s">
        <v>20</v>
      </c>
      <c r="F726" s="3">
        <v>432.28000000000003</v>
      </c>
      <c r="I726" t="s">
        <v>41</v>
      </c>
    </row>
    <row r="727" spans="1:9" x14ac:dyDescent="0.35">
      <c r="A727" s="1" t="s">
        <v>79</v>
      </c>
      <c r="B727" t="s">
        <v>18</v>
      </c>
      <c r="E727" t="s">
        <v>20</v>
      </c>
      <c r="F727" s="3">
        <v>4338.8100000000004</v>
      </c>
      <c r="I727" t="s">
        <v>13</v>
      </c>
    </row>
    <row r="728" spans="1:9" x14ac:dyDescent="0.35">
      <c r="A728" s="1" t="s">
        <v>79</v>
      </c>
      <c r="B728" t="s">
        <v>64</v>
      </c>
      <c r="E728" t="s">
        <v>20</v>
      </c>
      <c r="F728" s="3">
        <v>1567.02</v>
      </c>
      <c r="I728" t="s">
        <v>41</v>
      </c>
    </row>
    <row r="729" spans="1:9" x14ac:dyDescent="0.35">
      <c r="A729" s="1" t="s">
        <v>79</v>
      </c>
      <c r="B729" t="s">
        <v>43</v>
      </c>
      <c r="E729" t="s">
        <v>20</v>
      </c>
      <c r="F729" s="3">
        <v>1039.1699999999998</v>
      </c>
      <c r="I729" t="s">
        <v>41</v>
      </c>
    </row>
    <row r="730" spans="1:9" x14ac:dyDescent="0.35">
      <c r="A730" s="1" t="s">
        <v>80</v>
      </c>
      <c r="B730" t="s">
        <v>36</v>
      </c>
      <c r="E730" t="s">
        <v>20</v>
      </c>
      <c r="F730" s="3">
        <v>771.4</v>
      </c>
      <c r="I730" t="s">
        <v>9</v>
      </c>
    </row>
    <row r="731" spans="1:9" x14ac:dyDescent="0.35">
      <c r="A731" s="1" t="s">
        <v>80</v>
      </c>
      <c r="B731" t="s">
        <v>43</v>
      </c>
      <c r="E731" t="s">
        <v>20</v>
      </c>
      <c r="F731" s="3">
        <v>1636.39</v>
      </c>
      <c r="I731" t="s">
        <v>9</v>
      </c>
    </row>
    <row r="732" spans="1:9" x14ac:dyDescent="0.35">
      <c r="A732" s="1" t="s">
        <v>80</v>
      </c>
      <c r="B732" t="s">
        <v>18</v>
      </c>
      <c r="E732" t="s">
        <v>20</v>
      </c>
      <c r="F732" s="3">
        <v>1515.2399999999998</v>
      </c>
      <c r="I732" t="s">
        <v>41</v>
      </c>
    </row>
    <row r="733" spans="1:9" x14ac:dyDescent="0.35">
      <c r="A733" s="1" t="s">
        <v>81</v>
      </c>
      <c r="B733" t="s">
        <v>18</v>
      </c>
      <c r="E733" t="s">
        <v>20</v>
      </c>
      <c r="F733" s="3">
        <v>4142.07</v>
      </c>
      <c r="I733" t="s">
        <v>9</v>
      </c>
    </row>
    <row r="734" spans="1:9" x14ac:dyDescent="0.35">
      <c r="A734" s="1" t="s">
        <v>81</v>
      </c>
      <c r="B734" t="s">
        <v>36</v>
      </c>
      <c r="E734" t="s">
        <v>20</v>
      </c>
      <c r="F734" s="3">
        <v>1069.47</v>
      </c>
      <c r="I734" t="s">
        <v>41</v>
      </c>
    </row>
    <row r="735" spans="1:9" x14ac:dyDescent="0.35">
      <c r="A735" s="1" t="s">
        <v>81</v>
      </c>
      <c r="B735" t="s">
        <v>52</v>
      </c>
      <c r="E735" t="s">
        <v>20</v>
      </c>
      <c r="F735" s="3">
        <v>1059.52</v>
      </c>
      <c r="I735" t="s">
        <v>41</v>
      </c>
    </row>
    <row r="736" spans="1:9" x14ac:dyDescent="0.35">
      <c r="A736" s="1" t="s">
        <v>81</v>
      </c>
      <c r="B736" t="s">
        <v>52</v>
      </c>
      <c r="E736" t="s">
        <v>20</v>
      </c>
      <c r="F736" s="3">
        <v>1423.54</v>
      </c>
      <c r="I736" t="s">
        <v>41</v>
      </c>
    </row>
    <row r="737" spans="1:9" x14ac:dyDescent="0.35">
      <c r="A737" s="1" t="s">
        <v>81</v>
      </c>
      <c r="B737" t="s">
        <v>52</v>
      </c>
      <c r="E737" t="s">
        <v>20</v>
      </c>
      <c r="F737" s="3">
        <v>3653.02</v>
      </c>
      <c r="I737" t="s">
        <v>13</v>
      </c>
    </row>
    <row r="738" spans="1:9" x14ac:dyDescent="0.35">
      <c r="A738" s="1" t="s">
        <v>81</v>
      </c>
      <c r="B738" t="s">
        <v>36</v>
      </c>
      <c r="E738" t="s">
        <v>20</v>
      </c>
      <c r="F738" s="3">
        <v>719.59999999999991</v>
      </c>
      <c r="I738" t="s">
        <v>13</v>
      </c>
    </row>
    <row r="739" spans="1:9" x14ac:dyDescent="0.35">
      <c r="A739" s="1" t="s">
        <v>81</v>
      </c>
      <c r="B739" t="s">
        <v>18</v>
      </c>
      <c r="E739" t="s">
        <v>20</v>
      </c>
      <c r="F739" s="3">
        <v>299.71999999999997</v>
      </c>
      <c r="I739" t="s">
        <v>9</v>
      </c>
    </row>
    <row r="740" spans="1:9" x14ac:dyDescent="0.35">
      <c r="A740" s="1" t="s">
        <v>81</v>
      </c>
      <c r="B740" t="s">
        <v>64</v>
      </c>
      <c r="E740" t="s">
        <v>20</v>
      </c>
      <c r="F740" s="3">
        <v>3689.62</v>
      </c>
      <c r="I740" t="s">
        <v>41</v>
      </c>
    </row>
    <row r="741" spans="1:9" x14ac:dyDescent="0.35">
      <c r="A741" s="1" t="s">
        <v>82</v>
      </c>
      <c r="B741" t="s">
        <v>18</v>
      </c>
      <c r="E741" t="s">
        <v>20</v>
      </c>
      <c r="F741" s="3">
        <v>1680.64</v>
      </c>
      <c r="I741" t="s">
        <v>9</v>
      </c>
    </row>
    <row r="742" spans="1:9" x14ac:dyDescent="0.35">
      <c r="A742" s="1" t="s">
        <v>82</v>
      </c>
      <c r="B742" t="s">
        <v>52</v>
      </c>
      <c r="E742" t="s">
        <v>20</v>
      </c>
      <c r="F742" s="3">
        <v>690</v>
      </c>
      <c r="I742" t="s">
        <v>13</v>
      </c>
    </row>
    <row r="743" spans="1:9" x14ac:dyDescent="0.35">
      <c r="A743" s="1" t="s">
        <v>82</v>
      </c>
      <c r="B743" t="s">
        <v>43</v>
      </c>
      <c r="E743" t="s">
        <v>20</v>
      </c>
      <c r="F743" s="3">
        <v>1430.29</v>
      </c>
      <c r="I743" t="s">
        <v>9</v>
      </c>
    </row>
    <row r="744" spans="1:9" x14ac:dyDescent="0.35">
      <c r="A744" s="1" t="s">
        <v>82</v>
      </c>
      <c r="B744" t="s">
        <v>36</v>
      </c>
      <c r="E744" t="s">
        <v>20</v>
      </c>
      <c r="F744" s="3">
        <v>2079.7200000000003</v>
      </c>
      <c r="I744" t="s">
        <v>13</v>
      </c>
    </row>
    <row r="745" spans="1:9" x14ac:dyDescent="0.35">
      <c r="A745" s="1" t="s">
        <v>82</v>
      </c>
      <c r="B745" t="s">
        <v>64</v>
      </c>
      <c r="E745" t="s">
        <v>20</v>
      </c>
      <c r="F745" s="3">
        <v>2686.6</v>
      </c>
      <c r="I745" t="s">
        <v>41</v>
      </c>
    </row>
    <row r="746" spans="1:9" x14ac:dyDescent="0.35">
      <c r="A746" s="1" t="s">
        <v>82</v>
      </c>
      <c r="B746" t="s">
        <v>64</v>
      </c>
      <c r="E746" t="s">
        <v>20</v>
      </c>
      <c r="F746" s="3">
        <v>968.3</v>
      </c>
      <c r="I746" t="s">
        <v>41</v>
      </c>
    </row>
    <row r="747" spans="1:9" x14ac:dyDescent="0.35">
      <c r="A747" s="1" t="s">
        <v>83</v>
      </c>
      <c r="B747" t="s">
        <v>64</v>
      </c>
      <c r="E747" t="s">
        <v>20</v>
      </c>
      <c r="F747" s="3">
        <v>700.92000000000007</v>
      </c>
      <c r="I747" t="s">
        <v>13</v>
      </c>
    </row>
    <row r="748" spans="1:9" x14ac:dyDescent="0.35">
      <c r="A748" s="1" t="s">
        <v>83</v>
      </c>
      <c r="B748" t="s">
        <v>18</v>
      </c>
      <c r="E748" t="s">
        <v>20</v>
      </c>
      <c r="F748" s="3">
        <v>891.44999999999993</v>
      </c>
      <c r="I748" t="s">
        <v>9</v>
      </c>
    </row>
    <row r="749" spans="1:9" x14ac:dyDescent="0.35">
      <c r="A749" s="1" t="s">
        <v>83</v>
      </c>
      <c r="B749" t="s">
        <v>52</v>
      </c>
      <c r="E749" t="s">
        <v>20</v>
      </c>
      <c r="F749" s="3">
        <v>708.89</v>
      </c>
      <c r="I749" t="s">
        <v>9</v>
      </c>
    </row>
    <row r="750" spans="1:9" x14ac:dyDescent="0.35">
      <c r="A750" s="1" t="s">
        <v>83</v>
      </c>
      <c r="B750" t="s">
        <v>64</v>
      </c>
      <c r="E750" t="s">
        <v>20</v>
      </c>
      <c r="F750" s="3">
        <v>809.55</v>
      </c>
      <c r="I750" t="s">
        <v>9</v>
      </c>
    </row>
  </sheetData>
  <autoFilter ref="A1:I390" xr:uid="{035B0037-2BC2-4571-9E50-1EF9658C6B29}"/>
  <sortState xmlns:xlrd2="http://schemas.microsoft.com/office/spreadsheetml/2017/richdata2" ref="A2:I390">
    <sortCondition ref="A2:A390" customList="Janv,Fév,Mars,Avril,Mai,Juin,Juil,Août,Sept,Oct,Nov,Déc"/>
    <sortCondition ref="E2:E390" customList="East,West,North,South"/>
  </sortState>
  <hyperlinks>
    <hyperlink ref="O1" location="'Cover Page'!A1" display=" back to'Cover Page" xr:uid="{FE4CC452-E490-4FBD-A8F9-9FEEEA351DA7}"/>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0958-36D8-4D53-BC94-9A2A5E6DFBEF}">
  <dimension ref="A1:S100"/>
  <sheetViews>
    <sheetView topLeftCell="G1" workbookViewId="0">
      <selection activeCell="S1" sqref="S1"/>
    </sheetView>
  </sheetViews>
  <sheetFormatPr defaultRowHeight="14.5" x14ac:dyDescent="0.35"/>
  <cols>
    <col min="1" max="1" width="9.54296875" bestFit="1" customWidth="1"/>
    <col min="2" max="2" width="17.453125" hidden="1" customWidth="1"/>
    <col min="3" max="3" width="26.54296875" hidden="1" customWidth="1"/>
    <col min="4" max="4" width="14.453125" bestFit="1" customWidth="1"/>
    <col min="5" max="5" width="13" bestFit="1" customWidth="1"/>
    <col min="6" max="6" width="18.54296875" bestFit="1" customWidth="1"/>
    <col min="7" max="7" width="10.1796875" bestFit="1" customWidth="1"/>
    <col min="8" max="8" width="16.26953125" bestFit="1" customWidth="1"/>
    <col min="9" max="9" width="20" bestFit="1" customWidth="1"/>
    <col min="11" max="11" width="16.81640625" customWidth="1"/>
    <col min="12" max="15" width="11.1796875" bestFit="1" customWidth="1"/>
    <col min="19" max="19" width="17.453125" customWidth="1"/>
  </cols>
  <sheetData>
    <row r="1" spans="1:19" ht="23.5" x14ac:dyDescent="0.5">
      <c r="A1" s="13"/>
      <c r="B1" s="13"/>
      <c r="C1" s="13"/>
      <c r="D1" s="14" t="s">
        <v>89</v>
      </c>
      <c r="E1" s="14"/>
      <c r="F1" s="14"/>
      <c r="G1" s="14"/>
      <c r="H1" s="14"/>
      <c r="I1" s="11"/>
      <c r="K1" s="18" t="s">
        <v>29</v>
      </c>
      <c r="L1" s="18" t="s">
        <v>58</v>
      </c>
      <c r="M1" s="18" t="s">
        <v>70</v>
      </c>
      <c r="N1" s="18" t="s">
        <v>61</v>
      </c>
      <c r="O1" s="18" t="s">
        <v>39</v>
      </c>
      <c r="S1" s="34" t="s">
        <v>133</v>
      </c>
    </row>
    <row r="2" spans="1:19" x14ac:dyDescent="0.35">
      <c r="K2" s="17">
        <f>SUMIF(C5:C100, K1, F5:F100)</f>
        <v>517004.59999999992</v>
      </c>
      <c r="L2" s="17">
        <f>SUMIF(C5:C100,L1, F5:F100)</f>
        <v>289580.79999999999</v>
      </c>
      <c r="M2" s="17">
        <f>SUMIF(C5:C100,M1, F5:F100)</f>
        <v>364649</v>
      </c>
      <c r="N2" s="17">
        <f>SUMIF(C5:C100,N1, F5:F100)</f>
        <v>335128.89999999997</v>
      </c>
      <c r="O2" s="17">
        <f>SUMIF(C5:C100,O1, F5:F100)</f>
        <v>439469.89999999997</v>
      </c>
    </row>
    <row r="4" spans="1:19" ht="45" customHeight="1" thickBot="1" x14ac:dyDescent="0.4">
      <c r="A4" s="7" t="s">
        <v>0</v>
      </c>
      <c r="B4" s="7" t="s">
        <v>1</v>
      </c>
      <c r="C4" s="7" t="s">
        <v>2</v>
      </c>
      <c r="D4" s="7" t="s">
        <v>3</v>
      </c>
      <c r="E4" s="10" t="s">
        <v>97</v>
      </c>
      <c r="F4" s="8" t="s">
        <v>4</v>
      </c>
      <c r="G4" s="8" t="s">
        <v>85</v>
      </c>
      <c r="H4" s="8" t="s">
        <v>86</v>
      </c>
      <c r="I4" s="10" t="s">
        <v>92</v>
      </c>
      <c r="K4" s="17"/>
    </row>
    <row r="5" spans="1:19" ht="15" thickTop="1" x14ac:dyDescent="0.35">
      <c r="A5" s="2">
        <v>44197</v>
      </c>
      <c r="B5" t="s">
        <v>28</v>
      </c>
      <c r="C5" t="s">
        <v>29</v>
      </c>
      <c r="D5" t="s">
        <v>30</v>
      </c>
      <c r="E5" t="s">
        <v>31</v>
      </c>
      <c r="F5" s="3">
        <v>13310.4</v>
      </c>
      <c r="G5" s="3">
        <v>15000</v>
      </c>
      <c r="H5" s="3" t="s">
        <v>88</v>
      </c>
      <c r="I5" t="s">
        <v>9</v>
      </c>
    </row>
    <row r="6" spans="1:19" x14ac:dyDescent="0.35">
      <c r="A6" s="2">
        <v>44197</v>
      </c>
      <c r="B6" t="s">
        <v>57</v>
      </c>
      <c r="C6" t="s">
        <v>58</v>
      </c>
      <c r="D6" t="s">
        <v>59</v>
      </c>
      <c r="E6" t="s">
        <v>31</v>
      </c>
      <c r="F6" s="3">
        <v>20366.100000000002</v>
      </c>
      <c r="G6" s="3">
        <v>15000</v>
      </c>
      <c r="H6" s="3">
        <v>2036.6100000000004</v>
      </c>
      <c r="I6" t="s">
        <v>41</v>
      </c>
    </row>
    <row r="7" spans="1:19" x14ac:dyDescent="0.35">
      <c r="A7" s="2">
        <v>44197</v>
      </c>
      <c r="B7" t="s">
        <v>57</v>
      </c>
      <c r="C7" t="s">
        <v>58</v>
      </c>
      <c r="D7" t="s">
        <v>59</v>
      </c>
      <c r="E7" t="s">
        <v>31</v>
      </c>
      <c r="F7" s="3">
        <v>20880</v>
      </c>
      <c r="G7" s="3">
        <v>15000</v>
      </c>
      <c r="H7" s="3">
        <v>2088</v>
      </c>
      <c r="I7" t="s">
        <v>9</v>
      </c>
    </row>
    <row r="8" spans="1:19" x14ac:dyDescent="0.35">
      <c r="A8" s="2">
        <v>44197</v>
      </c>
      <c r="B8" t="s">
        <v>28</v>
      </c>
      <c r="C8" t="s">
        <v>29</v>
      </c>
      <c r="D8" t="s">
        <v>30</v>
      </c>
      <c r="E8" t="s">
        <v>31</v>
      </c>
      <c r="F8" s="3">
        <v>23076.199999999997</v>
      </c>
      <c r="G8" s="3">
        <v>15000</v>
      </c>
      <c r="H8" s="3">
        <v>2307.62</v>
      </c>
      <c r="I8" t="s">
        <v>9</v>
      </c>
    </row>
    <row r="9" spans="1:19" x14ac:dyDescent="0.35">
      <c r="A9" s="2">
        <v>44197</v>
      </c>
      <c r="B9" t="s">
        <v>28</v>
      </c>
      <c r="C9" t="s">
        <v>29</v>
      </c>
      <c r="D9" t="s">
        <v>30</v>
      </c>
      <c r="E9" t="s">
        <v>31</v>
      </c>
      <c r="F9" s="3">
        <v>25560</v>
      </c>
      <c r="G9" s="3">
        <v>15000</v>
      </c>
      <c r="H9" s="3">
        <v>2556</v>
      </c>
      <c r="I9" t="s">
        <v>9</v>
      </c>
    </row>
    <row r="10" spans="1:19" x14ac:dyDescent="0.35">
      <c r="A10" s="2">
        <v>44228</v>
      </c>
      <c r="B10" t="s">
        <v>57</v>
      </c>
      <c r="C10" t="s">
        <v>58</v>
      </c>
      <c r="D10" t="s">
        <v>59</v>
      </c>
      <c r="E10" t="s">
        <v>31</v>
      </c>
      <c r="F10" s="3">
        <v>13479.400000000001</v>
      </c>
      <c r="G10" s="3">
        <v>15000</v>
      </c>
      <c r="H10" s="3" t="s">
        <v>88</v>
      </c>
      <c r="I10" t="s">
        <v>41</v>
      </c>
    </row>
    <row r="11" spans="1:19" x14ac:dyDescent="0.35">
      <c r="A11" s="2">
        <v>44228</v>
      </c>
      <c r="B11" t="s">
        <v>28</v>
      </c>
      <c r="C11" t="s">
        <v>29</v>
      </c>
      <c r="D11" t="s">
        <v>30</v>
      </c>
      <c r="E11" t="s">
        <v>31</v>
      </c>
      <c r="F11" s="3">
        <v>16604.400000000001</v>
      </c>
      <c r="G11" s="3">
        <v>15000</v>
      </c>
      <c r="H11" s="3">
        <v>1660.4400000000003</v>
      </c>
      <c r="I11" t="s">
        <v>13</v>
      </c>
    </row>
    <row r="12" spans="1:19" x14ac:dyDescent="0.35">
      <c r="A12" s="2">
        <v>44228</v>
      </c>
      <c r="B12" t="s">
        <v>69</v>
      </c>
      <c r="C12" t="s">
        <v>70</v>
      </c>
      <c r="D12" t="s">
        <v>71</v>
      </c>
      <c r="E12" t="s">
        <v>31</v>
      </c>
      <c r="F12" s="3">
        <v>22176</v>
      </c>
      <c r="G12" s="3">
        <v>15000</v>
      </c>
      <c r="H12" s="3">
        <v>2217.6</v>
      </c>
      <c r="I12" t="s">
        <v>13</v>
      </c>
    </row>
    <row r="13" spans="1:19" x14ac:dyDescent="0.35">
      <c r="A13" s="2">
        <v>44228</v>
      </c>
      <c r="B13" t="s">
        <v>57</v>
      </c>
      <c r="C13" t="s">
        <v>58</v>
      </c>
      <c r="D13" t="s">
        <v>59</v>
      </c>
      <c r="E13" t="s">
        <v>31</v>
      </c>
      <c r="F13" s="3">
        <v>24131.000000000004</v>
      </c>
      <c r="G13" s="3">
        <v>15000</v>
      </c>
      <c r="H13" s="3">
        <v>2413.1000000000004</v>
      </c>
      <c r="I13" t="s">
        <v>13</v>
      </c>
    </row>
    <row r="14" spans="1:19" x14ac:dyDescent="0.35">
      <c r="A14" s="2">
        <v>44228</v>
      </c>
      <c r="B14" t="s">
        <v>28</v>
      </c>
      <c r="C14" t="s">
        <v>29</v>
      </c>
      <c r="D14" t="s">
        <v>30</v>
      </c>
      <c r="E14" t="s">
        <v>31</v>
      </c>
      <c r="F14" s="3">
        <v>34353.5</v>
      </c>
      <c r="G14" s="3">
        <v>15000</v>
      </c>
      <c r="H14" s="3">
        <v>3435.3500000000004</v>
      </c>
      <c r="I14" t="s">
        <v>13</v>
      </c>
    </row>
    <row r="15" spans="1:19" x14ac:dyDescent="0.35">
      <c r="A15" s="2">
        <v>44256</v>
      </c>
      <c r="B15" t="s">
        <v>60</v>
      </c>
      <c r="C15" t="s">
        <v>61</v>
      </c>
      <c r="D15" t="s">
        <v>62</v>
      </c>
      <c r="E15" t="s">
        <v>31</v>
      </c>
      <c r="F15" s="3">
        <v>7416.9</v>
      </c>
      <c r="G15" s="3">
        <v>15000</v>
      </c>
      <c r="H15" s="3" t="s">
        <v>88</v>
      </c>
      <c r="I15" t="s">
        <v>41</v>
      </c>
    </row>
    <row r="16" spans="1:19" x14ac:dyDescent="0.35">
      <c r="A16" s="2">
        <v>44256</v>
      </c>
      <c r="B16" t="s">
        <v>38</v>
      </c>
      <c r="C16" t="s">
        <v>39</v>
      </c>
      <c r="D16" t="s">
        <v>40</v>
      </c>
      <c r="E16" t="s">
        <v>31</v>
      </c>
      <c r="F16" s="3">
        <v>8284.5</v>
      </c>
      <c r="G16" s="3">
        <v>15000</v>
      </c>
      <c r="H16" s="3" t="s">
        <v>88</v>
      </c>
      <c r="I16" t="s">
        <v>13</v>
      </c>
    </row>
    <row r="17" spans="1:9" x14ac:dyDescent="0.35">
      <c r="A17" s="2">
        <v>44256</v>
      </c>
      <c r="B17" t="s">
        <v>28</v>
      </c>
      <c r="C17" t="s">
        <v>29</v>
      </c>
      <c r="D17" t="s">
        <v>30</v>
      </c>
      <c r="E17" t="s">
        <v>31</v>
      </c>
      <c r="F17" s="3">
        <v>10758.7</v>
      </c>
      <c r="G17" s="3">
        <v>15000</v>
      </c>
      <c r="H17" s="3" t="s">
        <v>88</v>
      </c>
      <c r="I17" t="s">
        <v>13</v>
      </c>
    </row>
    <row r="18" spans="1:9" x14ac:dyDescent="0.35">
      <c r="A18" s="2">
        <v>44256</v>
      </c>
      <c r="B18" t="s">
        <v>57</v>
      </c>
      <c r="C18" t="s">
        <v>58</v>
      </c>
      <c r="D18" t="s">
        <v>59</v>
      </c>
      <c r="E18" t="s">
        <v>31</v>
      </c>
      <c r="F18" s="3">
        <v>12124.2</v>
      </c>
      <c r="G18" s="3">
        <v>15000</v>
      </c>
      <c r="H18" s="3" t="s">
        <v>88</v>
      </c>
      <c r="I18" t="s">
        <v>41</v>
      </c>
    </row>
    <row r="19" spans="1:9" x14ac:dyDescent="0.35">
      <c r="A19" s="2">
        <v>44256</v>
      </c>
      <c r="B19" t="s">
        <v>60</v>
      </c>
      <c r="C19" t="s">
        <v>61</v>
      </c>
      <c r="D19" t="s">
        <v>62</v>
      </c>
      <c r="E19" t="s">
        <v>31</v>
      </c>
      <c r="F19" s="3">
        <v>14391.999999999998</v>
      </c>
      <c r="G19" s="3">
        <v>15000</v>
      </c>
      <c r="H19" s="3" t="s">
        <v>88</v>
      </c>
      <c r="I19" t="s">
        <v>9</v>
      </c>
    </row>
    <row r="20" spans="1:9" x14ac:dyDescent="0.35">
      <c r="A20" s="2">
        <v>44256</v>
      </c>
      <c r="B20" t="s">
        <v>38</v>
      </c>
      <c r="C20" t="s">
        <v>39</v>
      </c>
      <c r="D20" t="s">
        <v>40</v>
      </c>
      <c r="E20" t="s">
        <v>31</v>
      </c>
      <c r="F20" s="3">
        <v>15246</v>
      </c>
      <c r="G20" s="3">
        <v>15000</v>
      </c>
      <c r="H20" s="3">
        <v>1524.6000000000001</v>
      </c>
      <c r="I20" t="s">
        <v>9</v>
      </c>
    </row>
    <row r="21" spans="1:9" x14ac:dyDescent="0.35">
      <c r="A21" s="2">
        <v>44256</v>
      </c>
      <c r="B21" t="s">
        <v>60</v>
      </c>
      <c r="C21" t="s">
        <v>61</v>
      </c>
      <c r="D21" t="s">
        <v>62</v>
      </c>
      <c r="E21" t="s">
        <v>31</v>
      </c>
      <c r="F21" s="3">
        <v>17335.2</v>
      </c>
      <c r="G21" s="3">
        <v>15000</v>
      </c>
      <c r="H21" s="3">
        <v>1733.5200000000002</v>
      </c>
      <c r="I21" t="s">
        <v>41</v>
      </c>
    </row>
    <row r="22" spans="1:9" x14ac:dyDescent="0.35">
      <c r="A22" s="2">
        <v>44256</v>
      </c>
      <c r="B22" t="s">
        <v>38</v>
      </c>
      <c r="C22" t="s">
        <v>39</v>
      </c>
      <c r="D22" t="s">
        <v>40</v>
      </c>
      <c r="E22" t="s">
        <v>31</v>
      </c>
      <c r="F22" s="3">
        <v>40831</v>
      </c>
      <c r="G22" s="3">
        <v>15000</v>
      </c>
      <c r="H22" s="3">
        <v>4083.1000000000004</v>
      </c>
      <c r="I22" t="s">
        <v>9</v>
      </c>
    </row>
    <row r="23" spans="1:9" x14ac:dyDescent="0.35">
      <c r="A23" s="2">
        <v>44287</v>
      </c>
      <c r="B23" t="s">
        <v>28</v>
      </c>
      <c r="C23" t="s">
        <v>29</v>
      </c>
      <c r="D23" t="s">
        <v>30</v>
      </c>
      <c r="E23" t="s">
        <v>31</v>
      </c>
      <c r="F23" s="3">
        <v>8520</v>
      </c>
      <c r="G23" s="3">
        <v>15000</v>
      </c>
      <c r="H23" s="3" t="s">
        <v>88</v>
      </c>
      <c r="I23" t="s">
        <v>41</v>
      </c>
    </row>
    <row r="24" spans="1:9" x14ac:dyDescent="0.35">
      <c r="A24" s="2">
        <v>44287</v>
      </c>
      <c r="B24" t="s">
        <v>60</v>
      </c>
      <c r="C24" t="s">
        <v>61</v>
      </c>
      <c r="D24" t="s">
        <v>62</v>
      </c>
      <c r="E24" t="s">
        <v>31</v>
      </c>
      <c r="F24" s="3">
        <v>14301.599999999999</v>
      </c>
      <c r="G24" s="3">
        <v>15000</v>
      </c>
      <c r="H24" s="3" t="s">
        <v>88</v>
      </c>
      <c r="I24" t="s">
        <v>41</v>
      </c>
    </row>
    <row r="25" spans="1:9" x14ac:dyDescent="0.35">
      <c r="A25" s="2">
        <v>44287</v>
      </c>
      <c r="B25" t="s">
        <v>60</v>
      </c>
      <c r="C25" t="s">
        <v>61</v>
      </c>
      <c r="D25" t="s">
        <v>62</v>
      </c>
      <c r="E25" t="s">
        <v>31</v>
      </c>
      <c r="F25" s="3">
        <v>17204.399999999998</v>
      </c>
      <c r="G25" s="3">
        <v>15000</v>
      </c>
      <c r="H25" s="3">
        <v>1720.4399999999998</v>
      </c>
      <c r="I25" t="s">
        <v>9</v>
      </c>
    </row>
    <row r="26" spans="1:9" x14ac:dyDescent="0.35">
      <c r="A26" s="2">
        <v>44287</v>
      </c>
      <c r="B26" t="s">
        <v>38</v>
      </c>
      <c r="C26" t="s">
        <v>39</v>
      </c>
      <c r="D26" t="s">
        <v>40</v>
      </c>
      <c r="E26" t="s">
        <v>31</v>
      </c>
      <c r="F26" s="3">
        <v>19080</v>
      </c>
      <c r="G26" s="3">
        <v>15000</v>
      </c>
      <c r="H26" s="3">
        <v>1908</v>
      </c>
      <c r="I26" t="s">
        <v>13</v>
      </c>
    </row>
    <row r="27" spans="1:9" x14ac:dyDescent="0.35">
      <c r="A27" s="2">
        <v>44287</v>
      </c>
      <c r="B27" t="s">
        <v>28</v>
      </c>
      <c r="C27" t="s">
        <v>29</v>
      </c>
      <c r="D27" t="s">
        <v>30</v>
      </c>
      <c r="E27" t="s">
        <v>31</v>
      </c>
      <c r="F27" s="3">
        <v>19210.400000000001</v>
      </c>
      <c r="G27" s="3">
        <v>15000</v>
      </c>
      <c r="H27" s="3">
        <v>1921.0400000000002</v>
      </c>
      <c r="I27" t="s">
        <v>9</v>
      </c>
    </row>
    <row r="28" spans="1:9" x14ac:dyDescent="0.35">
      <c r="A28" s="2">
        <v>44287</v>
      </c>
      <c r="B28" t="s">
        <v>28</v>
      </c>
      <c r="C28" t="s">
        <v>29</v>
      </c>
      <c r="D28" t="s">
        <v>30</v>
      </c>
      <c r="E28" t="s">
        <v>31</v>
      </c>
      <c r="F28" s="3">
        <v>32282.799999999996</v>
      </c>
      <c r="G28" s="3">
        <v>15000</v>
      </c>
      <c r="H28" s="3">
        <v>3228.2799999999997</v>
      </c>
      <c r="I28" t="s">
        <v>13</v>
      </c>
    </row>
    <row r="29" spans="1:9" x14ac:dyDescent="0.35">
      <c r="A29" s="2">
        <v>44287</v>
      </c>
      <c r="B29" t="s">
        <v>69</v>
      </c>
      <c r="C29" t="s">
        <v>70</v>
      </c>
      <c r="D29" t="s">
        <v>71</v>
      </c>
      <c r="E29" t="s">
        <v>31</v>
      </c>
      <c r="F29" s="3">
        <v>32524.1</v>
      </c>
      <c r="G29" s="3">
        <v>15000</v>
      </c>
      <c r="H29" s="3">
        <v>3252.41</v>
      </c>
      <c r="I29" t="s">
        <v>9</v>
      </c>
    </row>
    <row r="30" spans="1:9" x14ac:dyDescent="0.35">
      <c r="A30" s="2">
        <v>44287</v>
      </c>
      <c r="B30" t="s">
        <v>28</v>
      </c>
      <c r="C30" t="s">
        <v>29</v>
      </c>
      <c r="D30" t="s">
        <v>30</v>
      </c>
      <c r="E30" t="s">
        <v>31</v>
      </c>
      <c r="F30" s="3">
        <v>35153.799999999996</v>
      </c>
      <c r="G30" s="3">
        <v>15000</v>
      </c>
      <c r="H30" s="3">
        <v>3515.3799999999997</v>
      </c>
      <c r="I30" t="s">
        <v>9</v>
      </c>
    </row>
    <row r="31" spans="1:9" x14ac:dyDescent="0.35">
      <c r="A31" s="2">
        <v>44287</v>
      </c>
      <c r="B31" t="s">
        <v>28</v>
      </c>
      <c r="C31" t="s">
        <v>29</v>
      </c>
      <c r="D31" t="s">
        <v>30</v>
      </c>
      <c r="E31" t="s">
        <v>31</v>
      </c>
      <c r="F31" s="3">
        <v>35820</v>
      </c>
      <c r="G31" s="3">
        <v>15000</v>
      </c>
      <c r="H31" s="3">
        <v>3582</v>
      </c>
      <c r="I31" t="s">
        <v>41</v>
      </c>
    </row>
    <row r="32" spans="1:9" x14ac:dyDescent="0.35">
      <c r="A32" s="2">
        <v>44287</v>
      </c>
      <c r="B32" t="s">
        <v>57</v>
      </c>
      <c r="C32" t="s">
        <v>58</v>
      </c>
      <c r="D32" t="s">
        <v>59</v>
      </c>
      <c r="E32" t="s">
        <v>31</v>
      </c>
      <c r="F32" s="3">
        <v>42690.400000000001</v>
      </c>
      <c r="G32" s="3">
        <v>15000</v>
      </c>
      <c r="H32" s="3">
        <v>4269.04</v>
      </c>
      <c r="I32" t="s">
        <v>41</v>
      </c>
    </row>
    <row r="33" spans="1:9" x14ac:dyDescent="0.35">
      <c r="A33" s="2">
        <v>44317</v>
      </c>
      <c r="B33" t="s">
        <v>57</v>
      </c>
      <c r="C33" t="s">
        <v>58</v>
      </c>
      <c r="D33" t="s">
        <v>59</v>
      </c>
      <c r="E33" t="s">
        <v>31</v>
      </c>
      <c r="F33" s="3">
        <v>9270.1</v>
      </c>
      <c r="G33" s="3">
        <v>15000</v>
      </c>
      <c r="H33" s="3" t="s">
        <v>88</v>
      </c>
      <c r="I33" t="s">
        <v>9</v>
      </c>
    </row>
    <row r="34" spans="1:9" x14ac:dyDescent="0.35">
      <c r="A34" s="2">
        <v>44317</v>
      </c>
      <c r="B34" t="s">
        <v>57</v>
      </c>
      <c r="C34" t="s">
        <v>58</v>
      </c>
      <c r="D34" t="s">
        <v>59</v>
      </c>
      <c r="E34" t="s">
        <v>31</v>
      </c>
      <c r="F34" s="3">
        <v>11235</v>
      </c>
      <c r="G34" s="3">
        <v>15000</v>
      </c>
      <c r="H34" s="3" t="s">
        <v>88</v>
      </c>
      <c r="I34" t="s">
        <v>41</v>
      </c>
    </row>
    <row r="35" spans="1:9" x14ac:dyDescent="0.35">
      <c r="A35" s="2">
        <v>44317</v>
      </c>
      <c r="B35" t="s">
        <v>69</v>
      </c>
      <c r="C35" t="s">
        <v>70</v>
      </c>
      <c r="D35" t="s">
        <v>71</v>
      </c>
      <c r="E35" t="s">
        <v>31</v>
      </c>
      <c r="F35" s="3">
        <v>12019.799999999997</v>
      </c>
      <c r="G35" s="3">
        <v>15000</v>
      </c>
      <c r="H35" s="3" t="s">
        <v>88</v>
      </c>
      <c r="I35" t="s">
        <v>9</v>
      </c>
    </row>
    <row r="36" spans="1:9" x14ac:dyDescent="0.35">
      <c r="A36" s="2">
        <v>44317</v>
      </c>
      <c r="B36" t="s">
        <v>28</v>
      </c>
      <c r="C36" t="s">
        <v>29</v>
      </c>
      <c r="D36" t="s">
        <v>30</v>
      </c>
      <c r="E36" t="s">
        <v>31</v>
      </c>
      <c r="F36" s="3">
        <v>27930</v>
      </c>
      <c r="G36" s="3">
        <v>15000</v>
      </c>
      <c r="H36" s="3">
        <v>2793</v>
      </c>
      <c r="I36" t="s">
        <v>13</v>
      </c>
    </row>
    <row r="37" spans="1:9" x14ac:dyDescent="0.35">
      <c r="A37" s="2">
        <v>44348</v>
      </c>
      <c r="B37" t="s">
        <v>38</v>
      </c>
      <c r="C37" t="s">
        <v>39</v>
      </c>
      <c r="D37" t="s">
        <v>40</v>
      </c>
      <c r="E37" t="s">
        <v>31</v>
      </c>
      <c r="F37" s="3">
        <v>7581.9999999999991</v>
      </c>
      <c r="G37" s="3">
        <v>15000</v>
      </c>
      <c r="H37" s="3" t="s">
        <v>88</v>
      </c>
      <c r="I37" t="s">
        <v>9</v>
      </c>
    </row>
    <row r="38" spans="1:9" x14ac:dyDescent="0.35">
      <c r="A38" s="2">
        <v>44348</v>
      </c>
      <c r="B38" t="s">
        <v>28</v>
      </c>
      <c r="C38" t="s">
        <v>29</v>
      </c>
      <c r="D38" t="s">
        <v>30</v>
      </c>
      <c r="E38" t="s">
        <v>31</v>
      </c>
      <c r="F38" s="3">
        <v>8721.6</v>
      </c>
      <c r="G38" s="3">
        <v>15000</v>
      </c>
      <c r="H38" s="3" t="s">
        <v>88</v>
      </c>
      <c r="I38" t="s">
        <v>41</v>
      </c>
    </row>
    <row r="39" spans="1:9" x14ac:dyDescent="0.35">
      <c r="A39" s="2">
        <v>44348</v>
      </c>
      <c r="B39" t="s">
        <v>38</v>
      </c>
      <c r="C39" t="s">
        <v>39</v>
      </c>
      <c r="D39" t="s">
        <v>40</v>
      </c>
      <c r="E39" t="s">
        <v>31</v>
      </c>
      <c r="F39" s="3">
        <v>10500</v>
      </c>
      <c r="G39" s="3">
        <v>15000</v>
      </c>
      <c r="H39" s="3" t="s">
        <v>88</v>
      </c>
      <c r="I39" t="s">
        <v>13</v>
      </c>
    </row>
    <row r="40" spans="1:9" x14ac:dyDescent="0.35">
      <c r="A40" s="2">
        <v>44348</v>
      </c>
      <c r="B40" t="s">
        <v>57</v>
      </c>
      <c r="C40" t="s">
        <v>58</v>
      </c>
      <c r="D40" t="s">
        <v>59</v>
      </c>
      <c r="E40" t="s">
        <v>31</v>
      </c>
      <c r="F40" s="3">
        <v>13466.999999999998</v>
      </c>
      <c r="G40" s="3">
        <v>15000</v>
      </c>
      <c r="H40" s="3" t="s">
        <v>88</v>
      </c>
      <c r="I40" t="s">
        <v>41</v>
      </c>
    </row>
    <row r="41" spans="1:9" x14ac:dyDescent="0.35">
      <c r="A41" s="2">
        <v>44348</v>
      </c>
      <c r="B41" t="s">
        <v>38</v>
      </c>
      <c r="C41" t="s">
        <v>39</v>
      </c>
      <c r="D41" t="s">
        <v>40</v>
      </c>
      <c r="E41" t="s">
        <v>31</v>
      </c>
      <c r="F41" s="3">
        <v>16036.8</v>
      </c>
      <c r="G41" s="3">
        <v>15000</v>
      </c>
      <c r="H41" s="3">
        <v>1603.68</v>
      </c>
      <c r="I41" t="s">
        <v>13</v>
      </c>
    </row>
    <row r="42" spans="1:9" x14ac:dyDescent="0.35">
      <c r="A42" s="2">
        <v>44348</v>
      </c>
      <c r="B42" t="s">
        <v>60</v>
      </c>
      <c r="C42" t="s">
        <v>61</v>
      </c>
      <c r="D42" t="s">
        <v>62</v>
      </c>
      <c r="E42" t="s">
        <v>31</v>
      </c>
      <c r="F42" s="3">
        <v>16846.8</v>
      </c>
      <c r="G42" s="3">
        <v>15000</v>
      </c>
      <c r="H42" s="3">
        <v>1684.68</v>
      </c>
      <c r="I42" t="s">
        <v>13</v>
      </c>
    </row>
    <row r="43" spans="1:9" x14ac:dyDescent="0.35">
      <c r="A43" s="2">
        <v>44378</v>
      </c>
      <c r="B43" t="s">
        <v>57</v>
      </c>
      <c r="C43" t="s">
        <v>58</v>
      </c>
      <c r="D43" t="s">
        <v>59</v>
      </c>
      <c r="E43" t="s">
        <v>31</v>
      </c>
      <c r="F43" s="3">
        <v>15957.2</v>
      </c>
      <c r="G43" s="3">
        <v>15000</v>
      </c>
      <c r="H43" s="3">
        <v>1595.7200000000003</v>
      </c>
      <c r="I43" t="s">
        <v>41</v>
      </c>
    </row>
    <row r="44" spans="1:9" x14ac:dyDescent="0.35">
      <c r="A44" s="2">
        <v>44378</v>
      </c>
      <c r="B44" t="s">
        <v>69</v>
      </c>
      <c r="C44" t="s">
        <v>70</v>
      </c>
      <c r="D44" t="s">
        <v>71</v>
      </c>
      <c r="E44" t="s">
        <v>31</v>
      </c>
      <c r="F44" s="3">
        <v>16492</v>
      </c>
      <c r="G44" s="3">
        <v>15000</v>
      </c>
      <c r="H44" s="3">
        <v>1649.2</v>
      </c>
      <c r="I44" t="s">
        <v>9</v>
      </c>
    </row>
    <row r="45" spans="1:9" x14ac:dyDescent="0.35">
      <c r="A45" s="2">
        <v>44378</v>
      </c>
      <c r="B45" t="s">
        <v>60</v>
      </c>
      <c r="C45" t="s">
        <v>61</v>
      </c>
      <c r="D45" t="s">
        <v>62</v>
      </c>
      <c r="E45" t="s">
        <v>31</v>
      </c>
      <c r="F45" s="3">
        <v>21295.4</v>
      </c>
      <c r="G45" s="3">
        <v>15000</v>
      </c>
      <c r="H45" s="3">
        <v>2129.5400000000004</v>
      </c>
      <c r="I45" t="s">
        <v>9</v>
      </c>
    </row>
    <row r="46" spans="1:9" x14ac:dyDescent="0.35">
      <c r="A46" s="2">
        <v>44378</v>
      </c>
      <c r="B46" t="s">
        <v>28</v>
      </c>
      <c r="C46" t="s">
        <v>29</v>
      </c>
      <c r="D46" t="s">
        <v>30</v>
      </c>
      <c r="E46" t="s">
        <v>31</v>
      </c>
      <c r="F46" s="3">
        <v>25518.800000000003</v>
      </c>
      <c r="G46" s="3">
        <v>15000</v>
      </c>
      <c r="H46" s="3">
        <v>2551.8800000000006</v>
      </c>
      <c r="I46" t="s">
        <v>9</v>
      </c>
    </row>
    <row r="47" spans="1:9" x14ac:dyDescent="0.35">
      <c r="A47" s="2">
        <v>44378</v>
      </c>
      <c r="B47" t="s">
        <v>28</v>
      </c>
      <c r="C47" t="s">
        <v>29</v>
      </c>
      <c r="D47" t="s">
        <v>30</v>
      </c>
      <c r="E47" t="s">
        <v>31</v>
      </c>
      <c r="F47" s="3">
        <v>27676.6</v>
      </c>
      <c r="G47" s="3">
        <v>15000</v>
      </c>
      <c r="H47" s="3">
        <v>2767.66</v>
      </c>
      <c r="I47" t="s">
        <v>13</v>
      </c>
    </row>
    <row r="48" spans="1:9" x14ac:dyDescent="0.35">
      <c r="A48" s="2">
        <v>44378</v>
      </c>
      <c r="B48" t="s">
        <v>60</v>
      </c>
      <c r="C48" t="s">
        <v>61</v>
      </c>
      <c r="D48" t="s">
        <v>62</v>
      </c>
      <c r="E48" t="s">
        <v>31</v>
      </c>
      <c r="F48" s="3">
        <v>28395</v>
      </c>
      <c r="G48" s="3">
        <v>15000</v>
      </c>
      <c r="H48" s="3">
        <v>2839.5</v>
      </c>
      <c r="I48" t="s">
        <v>41</v>
      </c>
    </row>
    <row r="49" spans="1:9" x14ac:dyDescent="0.35">
      <c r="A49" s="2">
        <v>44378</v>
      </c>
      <c r="B49" t="s">
        <v>69</v>
      </c>
      <c r="C49" t="s">
        <v>70</v>
      </c>
      <c r="D49" t="s">
        <v>71</v>
      </c>
      <c r="E49" t="s">
        <v>31</v>
      </c>
      <c r="F49" s="3">
        <v>41826.400000000001</v>
      </c>
      <c r="G49" s="3">
        <v>15000</v>
      </c>
      <c r="H49" s="3">
        <v>4182.6400000000003</v>
      </c>
      <c r="I49" t="s">
        <v>41</v>
      </c>
    </row>
    <row r="50" spans="1:9" x14ac:dyDescent="0.35">
      <c r="A50" s="2">
        <v>44378</v>
      </c>
      <c r="B50" t="s">
        <v>69</v>
      </c>
      <c r="C50" t="s">
        <v>70</v>
      </c>
      <c r="D50" t="s">
        <v>71</v>
      </c>
      <c r="E50" t="s">
        <v>31</v>
      </c>
      <c r="F50" s="3">
        <v>49055.999999999993</v>
      </c>
      <c r="G50" s="3">
        <v>15000</v>
      </c>
      <c r="H50" s="3">
        <v>4905.5999999999995</v>
      </c>
      <c r="I50" t="s">
        <v>9</v>
      </c>
    </row>
    <row r="51" spans="1:9" x14ac:dyDescent="0.35">
      <c r="A51" s="2">
        <v>44409</v>
      </c>
      <c r="B51" t="s">
        <v>28</v>
      </c>
      <c r="C51" t="s">
        <v>29</v>
      </c>
      <c r="D51" t="s">
        <v>30</v>
      </c>
      <c r="E51" t="s">
        <v>31</v>
      </c>
      <c r="F51" s="3">
        <v>6201</v>
      </c>
      <c r="G51" s="3">
        <v>15000</v>
      </c>
      <c r="H51" s="3" t="s">
        <v>88</v>
      </c>
      <c r="I51" t="s">
        <v>41</v>
      </c>
    </row>
    <row r="52" spans="1:9" x14ac:dyDescent="0.35">
      <c r="A52" s="2">
        <v>44409</v>
      </c>
      <c r="B52" t="s">
        <v>57</v>
      </c>
      <c r="C52" t="s">
        <v>58</v>
      </c>
      <c r="D52" t="s">
        <v>59</v>
      </c>
      <c r="E52" t="s">
        <v>31</v>
      </c>
      <c r="F52" s="3">
        <v>6311.4</v>
      </c>
      <c r="G52" s="3">
        <v>15000</v>
      </c>
      <c r="H52" s="3" t="s">
        <v>88</v>
      </c>
      <c r="I52" t="s">
        <v>41</v>
      </c>
    </row>
    <row r="53" spans="1:9" x14ac:dyDescent="0.35">
      <c r="A53" s="2">
        <v>44409</v>
      </c>
      <c r="B53" t="s">
        <v>38</v>
      </c>
      <c r="C53" t="s">
        <v>39</v>
      </c>
      <c r="D53" t="s">
        <v>40</v>
      </c>
      <c r="E53" t="s">
        <v>31</v>
      </c>
      <c r="F53" s="3">
        <v>7289.6</v>
      </c>
      <c r="G53" s="3">
        <v>15000</v>
      </c>
      <c r="H53" s="3" t="s">
        <v>88</v>
      </c>
      <c r="I53" t="s">
        <v>9</v>
      </c>
    </row>
    <row r="54" spans="1:9" x14ac:dyDescent="0.35">
      <c r="A54" s="2">
        <v>44409</v>
      </c>
      <c r="B54" t="s">
        <v>38</v>
      </c>
      <c r="C54" t="s">
        <v>39</v>
      </c>
      <c r="D54" t="s">
        <v>40</v>
      </c>
      <c r="E54" t="s">
        <v>31</v>
      </c>
      <c r="F54" s="3">
        <v>8322.4</v>
      </c>
      <c r="G54" s="3">
        <v>15000</v>
      </c>
      <c r="H54" s="3" t="s">
        <v>88</v>
      </c>
      <c r="I54" t="s">
        <v>9</v>
      </c>
    </row>
    <row r="55" spans="1:9" x14ac:dyDescent="0.35">
      <c r="A55" s="2">
        <v>44409</v>
      </c>
      <c r="B55" t="s">
        <v>60</v>
      </c>
      <c r="C55" t="s">
        <v>61</v>
      </c>
      <c r="D55" t="s">
        <v>62</v>
      </c>
      <c r="E55" t="s">
        <v>31</v>
      </c>
      <c r="F55" s="3">
        <v>8501.9000000000015</v>
      </c>
      <c r="G55" s="3">
        <v>15000</v>
      </c>
      <c r="H55" s="3" t="s">
        <v>88</v>
      </c>
      <c r="I55" t="s">
        <v>13</v>
      </c>
    </row>
    <row r="56" spans="1:9" x14ac:dyDescent="0.35">
      <c r="A56" s="2">
        <v>44409</v>
      </c>
      <c r="B56" t="s">
        <v>28</v>
      </c>
      <c r="C56" t="s">
        <v>29</v>
      </c>
      <c r="D56" t="s">
        <v>30</v>
      </c>
      <c r="E56" t="s">
        <v>31</v>
      </c>
      <c r="F56" s="3">
        <v>9708.2999999999993</v>
      </c>
      <c r="G56" s="3">
        <v>15000</v>
      </c>
      <c r="H56" s="3" t="s">
        <v>88</v>
      </c>
      <c r="I56" t="s">
        <v>13</v>
      </c>
    </row>
    <row r="57" spans="1:9" x14ac:dyDescent="0.35">
      <c r="A57" s="2">
        <v>44409</v>
      </c>
      <c r="B57" t="s">
        <v>38</v>
      </c>
      <c r="C57" t="s">
        <v>39</v>
      </c>
      <c r="D57" t="s">
        <v>40</v>
      </c>
      <c r="E57" t="s">
        <v>31</v>
      </c>
      <c r="F57" s="3">
        <v>12944.399999999998</v>
      </c>
      <c r="G57" s="3">
        <v>15000</v>
      </c>
      <c r="H57" s="3" t="s">
        <v>88</v>
      </c>
      <c r="I57" t="s">
        <v>13</v>
      </c>
    </row>
    <row r="58" spans="1:9" x14ac:dyDescent="0.35">
      <c r="A58" s="2">
        <v>44409</v>
      </c>
      <c r="B58" t="s">
        <v>28</v>
      </c>
      <c r="C58" t="s">
        <v>29</v>
      </c>
      <c r="D58" t="s">
        <v>30</v>
      </c>
      <c r="E58" t="s">
        <v>31</v>
      </c>
      <c r="F58" s="3">
        <v>14248</v>
      </c>
      <c r="G58" s="3">
        <v>15000</v>
      </c>
      <c r="H58" s="3" t="s">
        <v>88</v>
      </c>
      <c r="I58" t="s">
        <v>13</v>
      </c>
    </row>
    <row r="59" spans="1:9" x14ac:dyDescent="0.35">
      <c r="A59" s="2">
        <v>44409</v>
      </c>
      <c r="B59" t="s">
        <v>38</v>
      </c>
      <c r="C59" t="s">
        <v>39</v>
      </c>
      <c r="D59" t="s">
        <v>40</v>
      </c>
      <c r="E59" t="s">
        <v>31</v>
      </c>
      <c r="F59" s="3">
        <v>18298.399999999998</v>
      </c>
      <c r="G59" s="3">
        <v>15000</v>
      </c>
      <c r="H59" s="3">
        <v>1829.84</v>
      </c>
      <c r="I59" t="s">
        <v>41</v>
      </c>
    </row>
    <row r="60" spans="1:9" x14ac:dyDescent="0.35">
      <c r="A60" s="2">
        <v>44409</v>
      </c>
      <c r="B60" t="s">
        <v>38</v>
      </c>
      <c r="C60" t="s">
        <v>39</v>
      </c>
      <c r="D60" t="s">
        <v>40</v>
      </c>
      <c r="E60" t="s">
        <v>31</v>
      </c>
      <c r="F60" s="3">
        <v>18838.399999999998</v>
      </c>
      <c r="G60" s="3">
        <v>15000</v>
      </c>
      <c r="H60" s="3">
        <v>1883.84</v>
      </c>
      <c r="I60" t="s">
        <v>41</v>
      </c>
    </row>
    <row r="61" spans="1:9" x14ac:dyDescent="0.35">
      <c r="A61" s="2">
        <v>44409</v>
      </c>
      <c r="B61" t="s">
        <v>69</v>
      </c>
      <c r="C61" t="s">
        <v>70</v>
      </c>
      <c r="D61" t="s">
        <v>71</v>
      </c>
      <c r="E61" t="s">
        <v>31</v>
      </c>
      <c r="F61" s="3">
        <v>24469.599999999999</v>
      </c>
      <c r="G61" s="3">
        <v>15000</v>
      </c>
      <c r="H61" s="3">
        <v>2446.96</v>
      </c>
      <c r="I61" t="s">
        <v>13</v>
      </c>
    </row>
    <row r="62" spans="1:9" x14ac:dyDescent="0.35">
      <c r="A62" s="2">
        <v>44409</v>
      </c>
      <c r="B62" t="s">
        <v>69</v>
      </c>
      <c r="C62" t="s">
        <v>70</v>
      </c>
      <c r="D62" t="s">
        <v>71</v>
      </c>
      <c r="E62" t="s">
        <v>31</v>
      </c>
      <c r="F62" s="3">
        <v>31053.4</v>
      </c>
      <c r="G62" s="3">
        <v>15000</v>
      </c>
      <c r="H62" s="3">
        <v>3105.34</v>
      </c>
      <c r="I62" t="s">
        <v>9</v>
      </c>
    </row>
    <row r="63" spans="1:9" x14ac:dyDescent="0.35">
      <c r="A63" s="2">
        <v>44440</v>
      </c>
      <c r="B63" t="s">
        <v>38</v>
      </c>
      <c r="C63" t="s">
        <v>39</v>
      </c>
      <c r="D63" t="s">
        <v>40</v>
      </c>
      <c r="E63" t="s">
        <v>31</v>
      </c>
      <c r="F63" s="3">
        <v>3710</v>
      </c>
      <c r="G63" s="3">
        <v>15000</v>
      </c>
      <c r="H63" s="3" t="s">
        <v>88</v>
      </c>
      <c r="I63" t="s">
        <v>41</v>
      </c>
    </row>
    <row r="64" spans="1:9" x14ac:dyDescent="0.35">
      <c r="A64" s="2">
        <v>44440</v>
      </c>
      <c r="B64" t="s">
        <v>60</v>
      </c>
      <c r="C64" t="s">
        <v>61</v>
      </c>
      <c r="D64" t="s">
        <v>62</v>
      </c>
      <c r="E64" t="s">
        <v>31</v>
      </c>
      <c r="F64" s="3">
        <v>6600</v>
      </c>
      <c r="G64" s="3">
        <v>15000</v>
      </c>
      <c r="H64" s="3" t="s">
        <v>88</v>
      </c>
      <c r="I64" t="s">
        <v>9</v>
      </c>
    </row>
    <row r="65" spans="1:9" x14ac:dyDescent="0.35">
      <c r="A65" s="2">
        <v>44440</v>
      </c>
      <c r="B65" t="s">
        <v>69</v>
      </c>
      <c r="C65" t="s">
        <v>70</v>
      </c>
      <c r="D65" t="s">
        <v>71</v>
      </c>
      <c r="E65" t="s">
        <v>31</v>
      </c>
      <c r="F65" s="3">
        <v>8001</v>
      </c>
      <c r="G65" s="3">
        <v>15000</v>
      </c>
      <c r="H65" s="3" t="s">
        <v>88</v>
      </c>
      <c r="I65" t="s">
        <v>9</v>
      </c>
    </row>
    <row r="66" spans="1:9" x14ac:dyDescent="0.35">
      <c r="A66" s="2">
        <v>44440</v>
      </c>
      <c r="B66" t="s">
        <v>38</v>
      </c>
      <c r="C66" t="s">
        <v>39</v>
      </c>
      <c r="D66" t="s">
        <v>40</v>
      </c>
      <c r="E66" t="s">
        <v>31</v>
      </c>
      <c r="F66" s="3">
        <v>8772</v>
      </c>
      <c r="G66" s="3">
        <v>15000</v>
      </c>
      <c r="H66" s="3" t="s">
        <v>88</v>
      </c>
      <c r="I66" t="s">
        <v>13</v>
      </c>
    </row>
    <row r="67" spans="1:9" x14ac:dyDescent="0.35">
      <c r="A67" s="2">
        <v>44440</v>
      </c>
      <c r="B67" t="s">
        <v>38</v>
      </c>
      <c r="C67" t="s">
        <v>39</v>
      </c>
      <c r="D67" t="s">
        <v>40</v>
      </c>
      <c r="E67" t="s">
        <v>31</v>
      </c>
      <c r="F67" s="3">
        <v>14089.199999999999</v>
      </c>
      <c r="G67" s="3">
        <v>15000</v>
      </c>
      <c r="H67" s="3" t="s">
        <v>88</v>
      </c>
      <c r="I67" t="s">
        <v>13</v>
      </c>
    </row>
    <row r="68" spans="1:9" x14ac:dyDescent="0.35">
      <c r="A68" s="2">
        <v>44440</v>
      </c>
      <c r="B68" t="s">
        <v>28</v>
      </c>
      <c r="C68" t="s">
        <v>29</v>
      </c>
      <c r="D68" t="s">
        <v>30</v>
      </c>
      <c r="E68" t="s">
        <v>31</v>
      </c>
      <c r="F68" s="3">
        <v>16702.400000000001</v>
      </c>
      <c r="G68" s="3">
        <v>15000</v>
      </c>
      <c r="H68" s="3">
        <v>1670.2400000000002</v>
      </c>
      <c r="I68" t="s">
        <v>13</v>
      </c>
    </row>
    <row r="69" spans="1:9" x14ac:dyDescent="0.35">
      <c r="A69" s="2">
        <v>44440</v>
      </c>
      <c r="B69" t="s">
        <v>28</v>
      </c>
      <c r="C69" t="s">
        <v>29</v>
      </c>
      <c r="D69" t="s">
        <v>30</v>
      </c>
      <c r="E69" t="s">
        <v>31</v>
      </c>
      <c r="F69" s="3">
        <v>21216</v>
      </c>
      <c r="G69" s="3">
        <v>15000</v>
      </c>
      <c r="H69" s="3">
        <v>2121.6</v>
      </c>
      <c r="I69" t="s">
        <v>13</v>
      </c>
    </row>
    <row r="70" spans="1:9" x14ac:dyDescent="0.35">
      <c r="A70" s="2">
        <v>44440</v>
      </c>
      <c r="B70" t="s">
        <v>60</v>
      </c>
      <c r="C70" t="s">
        <v>61</v>
      </c>
      <c r="D70" t="s">
        <v>62</v>
      </c>
      <c r="E70" t="s">
        <v>31</v>
      </c>
      <c r="F70" s="3">
        <v>21546</v>
      </c>
      <c r="G70" s="3">
        <v>15000</v>
      </c>
      <c r="H70" s="3">
        <v>2154.6</v>
      </c>
      <c r="I70" t="s">
        <v>9</v>
      </c>
    </row>
    <row r="71" spans="1:9" x14ac:dyDescent="0.35">
      <c r="A71" s="2">
        <v>44440</v>
      </c>
      <c r="B71" t="s">
        <v>60</v>
      </c>
      <c r="C71" t="s">
        <v>61</v>
      </c>
      <c r="D71" t="s">
        <v>62</v>
      </c>
      <c r="E71" t="s">
        <v>31</v>
      </c>
      <c r="F71" s="3">
        <v>31186.6</v>
      </c>
      <c r="G71" s="3">
        <v>15000</v>
      </c>
      <c r="H71" s="3">
        <v>3118.66</v>
      </c>
      <c r="I71" t="s">
        <v>9</v>
      </c>
    </row>
    <row r="72" spans="1:9" x14ac:dyDescent="0.35">
      <c r="A72" s="2">
        <v>44440</v>
      </c>
      <c r="B72" t="s">
        <v>28</v>
      </c>
      <c r="C72" t="s">
        <v>29</v>
      </c>
      <c r="D72" t="s">
        <v>30</v>
      </c>
      <c r="E72" t="s">
        <v>31</v>
      </c>
      <c r="F72" s="3">
        <v>31999.200000000001</v>
      </c>
      <c r="G72" s="3">
        <v>15000</v>
      </c>
      <c r="H72" s="3">
        <v>3199.92</v>
      </c>
      <c r="I72" t="s">
        <v>13</v>
      </c>
    </row>
    <row r="73" spans="1:9" x14ac:dyDescent="0.35">
      <c r="A73" s="2">
        <v>44440</v>
      </c>
      <c r="B73" t="s">
        <v>60</v>
      </c>
      <c r="C73" t="s">
        <v>61</v>
      </c>
      <c r="D73" t="s">
        <v>62</v>
      </c>
      <c r="E73" t="s">
        <v>31</v>
      </c>
      <c r="F73" s="3">
        <v>37520</v>
      </c>
      <c r="G73" s="3">
        <v>15000</v>
      </c>
      <c r="H73" s="3">
        <v>3752</v>
      </c>
      <c r="I73" t="s">
        <v>13</v>
      </c>
    </row>
    <row r="74" spans="1:9" x14ac:dyDescent="0.35">
      <c r="A74" s="2">
        <v>44440</v>
      </c>
      <c r="B74" t="s">
        <v>60</v>
      </c>
      <c r="C74" t="s">
        <v>61</v>
      </c>
      <c r="D74" t="s">
        <v>62</v>
      </c>
      <c r="E74" t="s">
        <v>31</v>
      </c>
      <c r="F74" s="3">
        <v>41215.299999999996</v>
      </c>
      <c r="G74" s="3">
        <v>15000</v>
      </c>
      <c r="H74" s="3">
        <v>4121.53</v>
      </c>
      <c r="I74" t="s">
        <v>41</v>
      </c>
    </row>
    <row r="75" spans="1:9" x14ac:dyDescent="0.35">
      <c r="A75" s="2">
        <v>44470</v>
      </c>
      <c r="B75" t="s">
        <v>28</v>
      </c>
      <c r="C75" t="s">
        <v>29</v>
      </c>
      <c r="D75" t="s">
        <v>30</v>
      </c>
      <c r="E75" t="s">
        <v>31</v>
      </c>
      <c r="F75" s="3">
        <v>3035.1</v>
      </c>
      <c r="G75" s="3">
        <v>15000</v>
      </c>
      <c r="H75" s="3" t="s">
        <v>88</v>
      </c>
      <c r="I75" t="s">
        <v>13</v>
      </c>
    </row>
    <row r="76" spans="1:9" x14ac:dyDescent="0.35">
      <c r="A76" s="2">
        <v>44470</v>
      </c>
      <c r="B76" t="s">
        <v>60</v>
      </c>
      <c r="C76" t="s">
        <v>61</v>
      </c>
      <c r="D76" t="s">
        <v>62</v>
      </c>
      <c r="E76" t="s">
        <v>31</v>
      </c>
      <c r="F76" s="3">
        <v>6688</v>
      </c>
      <c r="G76" s="3">
        <v>15000</v>
      </c>
      <c r="H76" s="3" t="s">
        <v>88</v>
      </c>
      <c r="I76" t="s">
        <v>13</v>
      </c>
    </row>
    <row r="77" spans="1:9" x14ac:dyDescent="0.35">
      <c r="A77" s="2">
        <v>44470</v>
      </c>
      <c r="B77" t="s">
        <v>28</v>
      </c>
      <c r="C77" t="s">
        <v>29</v>
      </c>
      <c r="D77" t="s">
        <v>30</v>
      </c>
      <c r="E77" t="s">
        <v>31</v>
      </c>
      <c r="F77" s="3">
        <v>7024.2</v>
      </c>
      <c r="G77" s="3">
        <v>15000</v>
      </c>
      <c r="H77" s="3" t="s">
        <v>88</v>
      </c>
      <c r="I77" t="s">
        <v>41</v>
      </c>
    </row>
    <row r="78" spans="1:9" x14ac:dyDescent="0.35">
      <c r="A78" s="2">
        <v>44470</v>
      </c>
      <c r="B78" t="s">
        <v>60</v>
      </c>
      <c r="C78" t="s">
        <v>61</v>
      </c>
      <c r="D78" t="s">
        <v>62</v>
      </c>
      <c r="E78" t="s">
        <v>31</v>
      </c>
      <c r="F78" s="3">
        <v>7139.0000000000009</v>
      </c>
      <c r="G78" s="3">
        <v>15000</v>
      </c>
      <c r="H78" s="3" t="s">
        <v>88</v>
      </c>
      <c r="I78" t="s">
        <v>9</v>
      </c>
    </row>
    <row r="79" spans="1:9" x14ac:dyDescent="0.35">
      <c r="A79" s="2">
        <v>44470</v>
      </c>
      <c r="B79" t="s">
        <v>38</v>
      </c>
      <c r="C79" t="s">
        <v>39</v>
      </c>
      <c r="D79" t="s">
        <v>40</v>
      </c>
      <c r="E79" t="s">
        <v>31</v>
      </c>
      <c r="F79" s="3">
        <v>10948</v>
      </c>
      <c r="G79" s="3">
        <v>15000</v>
      </c>
      <c r="H79" s="3" t="s">
        <v>88</v>
      </c>
      <c r="I79" t="s">
        <v>13</v>
      </c>
    </row>
    <row r="80" spans="1:9" x14ac:dyDescent="0.35">
      <c r="A80" s="2">
        <v>44470</v>
      </c>
      <c r="B80" t="s">
        <v>38</v>
      </c>
      <c r="C80" t="s">
        <v>39</v>
      </c>
      <c r="D80" t="s">
        <v>40</v>
      </c>
      <c r="E80" t="s">
        <v>31</v>
      </c>
      <c r="F80" s="3">
        <v>10988.800000000001</v>
      </c>
      <c r="G80" s="3">
        <v>15000</v>
      </c>
      <c r="H80" s="3" t="s">
        <v>88</v>
      </c>
      <c r="I80" t="s">
        <v>9</v>
      </c>
    </row>
    <row r="81" spans="1:9" x14ac:dyDescent="0.35">
      <c r="A81" s="2">
        <v>44470</v>
      </c>
      <c r="B81" t="s">
        <v>38</v>
      </c>
      <c r="C81" t="s">
        <v>39</v>
      </c>
      <c r="D81" t="s">
        <v>40</v>
      </c>
      <c r="E81" t="s">
        <v>31</v>
      </c>
      <c r="F81" s="3">
        <v>12306.6</v>
      </c>
      <c r="G81" s="3">
        <v>15000</v>
      </c>
      <c r="H81" s="3" t="s">
        <v>88</v>
      </c>
      <c r="I81" t="s">
        <v>13</v>
      </c>
    </row>
    <row r="82" spans="1:9" x14ac:dyDescent="0.35">
      <c r="A82" s="2">
        <v>44470</v>
      </c>
      <c r="B82" t="s">
        <v>38</v>
      </c>
      <c r="C82" t="s">
        <v>39</v>
      </c>
      <c r="D82" t="s">
        <v>40</v>
      </c>
      <c r="E82" t="s">
        <v>31</v>
      </c>
      <c r="F82" s="3">
        <v>16077</v>
      </c>
      <c r="G82" s="3">
        <v>15000</v>
      </c>
      <c r="H82" s="3">
        <v>1607.7</v>
      </c>
      <c r="I82" t="s">
        <v>13</v>
      </c>
    </row>
    <row r="83" spans="1:9" x14ac:dyDescent="0.35">
      <c r="A83" s="2">
        <v>44470</v>
      </c>
      <c r="B83" t="s">
        <v>57</v>
      </c>
      <c r="C83" t="s">
        <v>58</v>
      </c>
      <c r="D83" t="s">
        <v>59</v>
      </c>
      <c r="E83" t="s">
        <v>31</v>
      </c>
      <c r="F83" s="3">
        <v>19594</v>
      </c>
      <c r="G83" s="3">
        <v>15000</v>
      </c>
      <c r="H83" s="3">
        <v>1959.4</v>
      </c>
      <c r="I83" t="s">
        <v>13</v>
      </c>
    </row>
    <row r="84" spans="1:9" x14ac:dyDescent="0.35">
      <c r="A84" s="2">
        <v>44470</v>
      </c>
      <c r="B84" t="s">
        <v>28</v>
      </c>
      <c r="C84" t="s">
        <v>29</v>
      </c>
      <c r="D84" t="s">
        <v>30</v>
      </c>
      <c r="E84" t="s">
        <v>31</v>
      </c>
      <c r="F84" s="3">
        <v>19946.199999999997</v>
      </c>
      <c r="G84" s="3">
        <v>15000</v>
      </c>
      <c r="H84" s="3">
        <v>1994.62</v>
      </c>
      <c r="I84" t="s">
        <v>41</v>
      </c>
    </row>
    <row r="85" spans="1:9" x14ac:dyDescent="0.35">
      <c r="A85" s="2">
        <v>44470</v>
      </c>
      <c r="B85" t="s">
        <v>69</v>
      </c>
      <c r="C85" t="s">
        <v>70</v>
      </c>
      <c r="D85" t="s">
        <v>71</v>
      </c>
      <c r="E85" t="s">
        <v>31</v>
      </c>
      <c r="F85" s="3">
        <v>26773.4</v>
      </c>
      <c r="G85" s="3">
        <v>15000</v>
      </c>
      <c r="H85" s="3">
        <v>2677.34</v>
      </c>
      <c r="I85" t="s">
        <v>41</v>
      </c>
    </row>
    <row r="86" spans="1:9" x14ac:dyDescent="0.35">
      <c r="A86" s="2">
        <v>44470</v>
      </c>
      <c r="B86" t="s">
        <v>38</v>
      </c>
      <c r="C86" t="s">
        <v>39</v>
      </c>
      <c r="D86" t="s">
        <v>40</v>
      </c>
      <c r="E86" t="s">
        <v>31</v>
      </c>
      <c r="F86" s="3">
        <v>28464.9</v>
      </c>
      <c r="G86" s="3">
        <v>15000</v>
      </c>
      <c r="H86" s="3">
        <v>2846.4900000000002</v>
      </c>
      <c r="I86" t="s">
        <v>41</v>
      </c>
    </row>
    <row r="87" spans="1:9" x14ac:dyDescent="0.35">
      <c r="A87" s="2">
        <v>44470</v>
      </c>
      <c r="B87" t="s">
        <v>60</v>
      </c>
      <c r="C87" t="s">
        <v>61</v>
      </c>
      <c r="D87" t="s">
        <v>62</v>
      </c>
      <c r="E87" t="s">
        <v>31</v>
      </c>
      <c r="F87" s="3">
        <v>37544.800000000003</v>
      </c>
      <c r="G87" s="3">
        <v>15000</v>
      </c>
      <c r="H87" s="3">
        <v>3754.4800000000005</v>
      </c>
      <c r="I87" t="s">
        <v>9</v>
      </c>
    </row>
    <row r="88" spans="1:9" x14ac:dyDescent="0.35">
      <c r="A88" s="2">
        <v>44470</v>
      </c>
      <c r="B88" t="s">
        <v>38</v>
      </c>
      <c r="C88" t="s">
        <v>39</v>
      </c>
      <c r="D88" t="s">
        <v>40</v>
      </c>
      <c r="E88" t="s">
        <v>31</v>
      </c>
      <c r="F88" s="3">
        <v>40224.800000000003</v>
      </c>
      <c r="G88" s="3">
        <v>15000</v>
      </c>
      <c r="H88" s="3">
        <v>4022.4800000000005</v>
      </c>
      <c r="I88" t="s">
        <v>9</v>
      </c>
    </row>
    <row r="89" spans="1:9" x14ac:dyDescent="0.35">
      <c r="A89" s="2">
        <v>44470</v>
      </c>
      <c r="B89" t="s">
        <v>57</v>
      </c>
      <c r="C89" t="s">
        <v>58</v>
      </c>
      <c r="D89" t="s">
        <v>59</v>
      </c>
      <c r="E89" t="s">
        <v>31</v>
      </c>
      <c r="F89" s="3">
        <v>43591.8</v>
      </c>
      <c r="G89" s="3">
        <v>15000</v>
      </c>
      <c r="H89" s="3">
        <v>4359.18</v>
      </c>
      <c r="I89" t="s">
        <v>9</v>
      </c>
    </row>
    <row r="90" spans="1:9" x14ac:dyDescent="0.35">
      <c r="A90" s="2">
        <v>44501</v>
      </c>
      <c r="B90" t="s">
        <v>69</v>
      </c>
      <c r="C90" t="s">
        <v>70</v>
      </c>
      <c r="D90" t="s">
        <v>71</v>
      </c>
      <c r="E90" t="s">
        <v>31</v>
      </c>
      <c r="F90" s="3">
        <v>9292.5</v>
      </c>
      <c r="G90" s="3">
        <v>15000</v>
      </c>
      <c r="H90" s="3" t="s">
        <v>88</v>
      </c>
      <c r="I90" t="s">
        <v>13</v>
      </c>
    </row>
    <row r="91" spans="1:9" x14ac:dyDescent="0.35">
      <c r="A91" s="2">
        <v>44501</v>
      </c>
      <c r="B91" t="s">
        <v>57</v>
      </c>
      <c r="C91" t="s">
        <v>58</v>
      </c>
      <c r="D91" t="s">
        <v>59</v>
      </c>
      <c r="E91" t="s">
        <v>31</v>
      </c>
      <c r="F91" s="3">
        <v>28761.599999999999</v>
      </c>
      <c r="G91" s="3">
        <v>15000</v>
      </c>
      <c r="H91" s="3">
        <v>2876.16</v>
      </c>
      <c r="I91" t="s">
        <v>41</v>
      </c>
    </row>
    <row r="92" spans="1:9" x14ac:dyDescent="0.35">
      <c r="A92" s="2">
        <v>44501</v>
      </c>
      <c r="B92" t="s">
        <v>38</v>
      </c>
      <c r="C92" t="s">
        <v>39</v>
      </c>
      <c r="D92" t="s">
        <v>40</v>
      </c>
      <c r="E92" t="s">
        <v>31</v>
      </c>
      <c r="F92" s="3">
        <v>41932.799999999996</v>
      </c>
      <c r="G92" s="3">
        <v>15000</v>
      </c>
      <c r="H92" s="3">
        <v>4193.28</v>
      </c>
      <c r="I92" t="s">
        <v>9</v>
      </c>
    </row>
    <row r="93" spans="1:9" x14ac:dyDescent="0.35">
      <c r="A93" s="2">
        <v>44501</v>
      </c>
      <c r="B93" t="s">
        <v>28</v>
      </c>
      <c r="C93" t="s">
        <v>29</v>
      </c>
      <c r="D93" t="s">
        <v>30</v>
      </c>
      <c r="E93" t="s">
        <v>31</v>
      </c>
      <c r="F93" s="3">
        <v>42427</v>
      </c>
      <c r="G93" s="3">
        <v>15000</v>
      </c>
      <c r="H93" s="3">
        <v>4242.7</v>
      </c>
      <c r="I93" t="s">
        <v>13</v>
      </c>
    </row>
    <row r="94" spans="1:9" x14ac:dyDescent="0.35">
      <c r="A94" s="2">
        <v>44501</v>
      </c>
      <c r="B94" t="s">
        <v>69</v>
      </c>
      <c r="C94" t="s">
        <v>70</v>
      </c>
      <c r="D94" t="s">
        <v>71</v>
      </c>
      <c r="E94" t="s">
        <v>31</v>
      </c>
      <c r="F94" s="3">
        <v>47510.400000000001</v>
      </c>
      <c r="G94" s="3">
        <v>15000</v>
      </c>
      <c r="H94" s="3">
        <v>4751.04</v>
      </c>
      <c r="I94" t="s">
        <v>13</v>
      </c>
    </row>
    <row r="95" spans="1:9" x14ac:dyDescent="0.35">
      <c r="A95" s="2">
        <v>44531</v>
      </c>
      <c r="B95" t="s">
        <v>57</v>
      </c>
      <c r="C95" t="s">
        <v>58</v>
      </c>
      <c r="D95" t="s">
        <v>59</v>
      </c>
      <c r="E95" t="s">
        <v>31</v>
      </c>
      <c r="F95" s="3">
        <v>7721.5999999999995</v>
      </c>
      <c r="G95" s="3">
        <v>15000</v>
      </c>
      <c r="H95" s="3" t="s">
        <v>88</v>
      </c>
      <c r="I95" t="s">
        <v>9</v>
      </c>
    </row>
    <row r="96" spans="1:9" x14ac:dyDescent="0.35">
      <c r="A96" s="2">
        <v>44531</v>
      </c>
      <c r="B96" t="s">
        <v>38</v>
      </c>
      <c r="C96" t="s">
        <v>39</v>
      </c>
      <c r="D96" t="s">
        <v>40</v>
      </c>
      <c r="E96" t="s">
        <v>31</v>
      </c>
      <c r="F96" s="3">
        <v>8925.7000000000007</v>
      </c>
      <c r="G96" s="3">
        <v>15000</v>
      </c>
      <c r="H96" s="3" t="s">
        <v>88</v>
      </c>
      <c r="I96" t="s">
        <v>9</v>
      </c>
    </row>
    <row r="97" spans="1:9" x14ac:dyDescent="0.35">
      <c r="A97" s="2">
        <v>44531</v>
      </c>
      <c r="B97" t="s">
        <v>38</v>
      </c>
      <c r="C97" t="s">
        <v>39</v>
      </c>
      <c r="D97" t="s">
        <v>40</v>
      </c>
      <c r="E97" t="s">
        <v>31</v>
      </c>
      <c r="F97" s="3">
        <v>15802.6</v>
      </c>
      <c r="G97" s="3">
        <v>15000</v>
      </c>
      <c r="H97" s="3">
        <v>1580.2600000000002</v>
      </c>
      <c r="I97" t="s">
        <v>41</v>
      </c>
    </row>
    <row r="98" spans="1:9" x14ac:dyDescent="0.35">
      <c r="A98" s="2">
        <v>44531</v>
      </c>
      <c r="B98" t="s">
        <v>69</v>
      </c>
      <c r="C98" t="s">
        <v>70</v>
      </c>
      <c r="D98" t="s">
        <v>71</v>
      </c>
      <c r="E98" t="s">
        <v>31</v>
      </c>
      <c r="F98" s="3">
        <v>21103.3</v>
      </c>
      <c r="G98" s="3">
        <v>15000</v>
      </c>
      <c r="H98" s="3">
        <v>2110.33</v>
      </c>
      <c r="I98" t="s">
        <v>41</v>
      </c>
    </row>
    <row r="99" spans="1:9" x14ac:dyDescent="0.35">
      <c r="A99" s="2">
        <v>44531</v>
      </c>
      <c r="B99" t="s">
        <v>69</v>
      </c>
      <c r="C99" t="s">
        <v>70</v>
      </c>
      <c r="D99" t="s">
        <v>71</v>
      </c>
      <c r="E99" t="s">
        <v>31</v>
      </c>
      <c r="F99" s="3">
        <v>22351.100000000002</v>
      </c>
      <c r="G99" s="3">
        <v>15000</v>
      </c>
      <c r="H99" s="3">
        <v>2235.11</v>
      </c>
      <c r="I99" t="s">
        <v>41</v>
      </c>
    </row>
    <row r="100" spans="1:9" x14ac:dyDescent="0.35">
      <c r="A100" s="2">
        <v>44531</v>
      </c>
      <c r="B100" t="s">
        <v>38</v>
      </c>
      <c r="C100" t="s">
        <v>39</v>
      </c>
      <c r="D100" t="s">
        <v>40</v>
      </c>
      <c r="E100" t="s">
        <v>31</v>
      </c>
      <c r="F100" s="3">
        <v>43974</v>
      </c>
      <c r="G100" s="3">
        <v>15000</v>
      </c>
      <c r="H100" s="3">
        <v>4397.4000000000005</v>
      </c>
      <c r="I100" t="s">
        <v>9</v>
      </c>
    </row>
  </sheetData>
  <autoFilter ref="A4:I4" xr:uid="{36A90958-36D8-4D53-BC94-9A2A5E6DFBEF}"/>
  <conditionalFormatting sqref="F1:F1048576">
    <cfRule type="top10" dxfId="5" priority="1" rank="5"/>
  </conditionalFormatting>
  <hyperlinks>
    <hyperlink ref="S1" location="'Cover Page'!A1" display="'back to Cover Page" xr:uid="{7DEEA05C-744D-4F88-8059-8F09D0C2C47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8FE3-7C47-4295-B951-FF06FFAED015}">
  <dimension ref="A1:S102"/>
  <sheetViews>
    <sheetView topLeftCell="G1" workbookViewId="0">
      <selection activeCell="S2" sqref="S2"/>
    </sheetView>
  </sheetViews>
  <sheetFormatPr defaultRowHeight="14.5" x14ac:dyDescent="0.35"/>
  <cols>
    <col min="1" max="1" width="14" customWidth="1"/>
    <col min="2" max="2" width="13.453125" hidden="1" customWidth="1"/>
    <col min="3" max="3" width="19.1796875" hidden="1" customWidth="1"/>
    <col min="4" max="4" width="17.1796875" customWidth="1"/>
    <col min="5" max="5" width="15.1796875" customWidth="1"/>
    <col min="6" max="6" width="20.453125" customWidth="1"/>
    <col min="7" max="7" width="12.1796875" customWidth="1"/>
    <col min="8" max="8" width="17.54296875" customWidth="1"/>
    <col min="9" max="9" width="18.26953125" customWidth="1"/>
    <col min="11" max="15" width="11.1796875" bestFit="1" customWidth="1"/>
    <col min="19" max="19" width="17.7265625" customWidth="1"/>
  </cols>
  <sheetData>
    <row r="1" spans="1:19" ht="28.5" customHeight="1" x14ac:dyDescent="0.5">
      <c r="A1" s="14"/>
      <c r="B1" s="14"/>
      <c r="C1" s="14"/>
      <c r="D1" s="14" t="s">
        <v>96</v>
      </c>
      <c r="E1" s="14"/>
      <c r="F1" s="11"/>
      <c r="G1" s="11"/>
      <c r="H1" s="11"/>
      <c r="I1" s="11"/>
      <c r="K1" s="9" t="s">
        <v>22</v>
      </c>
      <c r="L1" s="9" t="s">
        <v>49</v>
      </c>
      <c r="M1" s="9" t="s">
        <v>33</v>
      </c>
      <c r="N1" s="9" t="s">
        <v>46</v>
      </c>
      <c r="O1" s="9" t="s">
        <v>55</v>
      </c>
      <c r="S1" s="34" t="s">
        <v>133</v>
      </c>
    </row>
    <row r="2" spans="1:19" x14ac:dyDescent="0.35">
      <c r="K2" s="17">
        <f>SUMIF(C4:C102,K1, F4:F102)</f>
        <v>390105.1</v>
      </c>
      <c r="L2" s="17">
        <f>SUMIF(C4:C102,L1, F4:F102)</f>
        <v>285253.10000000003</v>
      </c>
      <c r="M2" s="17">
        <f>SUMIF(C4:C102,M1, F4:F102)</f>
        <v>482889</v>
      </c>
      <c r="N2" s="17">
        <f>SUMIF(C4:C102,N1, F4:F102)</f>
        <v>331096.8</v>
      </c>
      <c r="O2" s="17">
        <f>SUMIF(C4:C102,O1, F4:F102)</f>
        <v>323152.3</v>
      </c>
    </row>
    <row r="3" spans="1:19" ht="47.25" customHeight="1" thickBot="1" x14ac:dyDescent="0.4">
      <c r="A3" s="10" t="s">
        <v>0</v>
      </c>
      <c r="B3" s="10" t="s">
        <v>1</v>
      </c>
      <c r="C3" s="10" t="s">
        <v>2</v>
      </c>
      <c r="D3" s="10" t="s">
        <v>3</v>
      </c>
      <c r="E3" s="10" t="s">
        <v>84</v>
      </c>
      <c r="F3" s="12" t="s">
        <v>4</v>
      </c>
      <c r="G3" s="12" t="s">
        <v>85</v>
      </c>
      <c r="H3" s="12" t="s">
        <v>86</v>
      </c>
      <c r="I3" s="10" t="s">
        <v>95</v>
      </c>
    </row>
    <row r="4" spans="1:19" ht="15" thickTop="1" x14ac:dyDescent="0.35">
      <c r="A4" s="2">
        <v>44197</v>
      </c>
      <c r="B4" t="s">
        <v>21</v>
      </c>
      <c r="C4" t="s">
        <v>22</v>
      </c>
      <c r="D4" t="s">
        <v>23</v>
      </c>
      <c r="E4" t="s">
        <v>24</v>
      </c>
      <c r="F4" s="3">
        <v>3008.3999999999996</v>
      </c>
      <c r="G4" s="3">
        <v>15000</v>
      </c>
      <c r="H4" s="3" t="s">
        <v>88</v>
      </c>
      <c r="I4" t="s">
        <v>13</v>
      </c>
    </row>
    <row r="5" spans="1:19" x14ac:dyDescent="0.35">
      <c r="A5" s="2">
        <v>44197</v>
      </c>
      <c r="B5" t="s">
        <v>48</v>
      </c>
      <c r="C5" t="s">
        <v>49</v>
      </c>
      <c r="D5" t="s">
        <v>50</v>
      </c>
      <c r="E5" t="s">
        <v>24</v>
      </c>
      <c r="F5" s="3">
        <v>7221.5999999999995</v>
      </c>
      <c r="G5" s="3">
        <v>15000</v>
      </c>
      <c r="H5" s="3" t="s">
        <v>88</v>
      </c>
      <c r="I5" t="s">
        <v>41</v>
      </c>
    </row>
    <row r="6" spans="1:19" x14ac:dyDescent="0.35">
      <c r="A6" s="2">
        <v>44197</v>
      </c>
      <c r="B6" t="s">
        <v>21</v>
      </c>
      <c r="C6" t="s">
        <v>22</v>
      </c>
      <c r="D6" t="s">
        <v>23</v>
      </c>
      <c r="E6" t="s">
        <v>24</v>
      </c>
      <c r="F6" s="3">
        <v>10903.199999999999</v>
      </c>
      <c r="G6" s="3">
        <v>15000</v>
      </c>
      <c r="H6" s="3" t="s">
        <v>88</v>
      </c>
      <c r="I6" t="s">
        <v>13</v>
      </c>
    </row>
    <row r="7" spans="1:19" x14ac:dyDescent="0.35">
      <c r="A7" s="2">
        <v>44197</v>
      </c>
      <c r="B7" t="s">
        <v>32</v>
      </c>
      <c r="C7" t="s">
        <v>33</v>
      </c>
      <c r="D7" t="s">
        <v>34</v>
      </c>
      <c r="E7" t="s">
        <v>24</v>
      </c>
      <c r="F7" s="3">
        <v>14616</v>
      </c>
      <c r="G7" s="3">
        <v>15000</v>
      </c>
      <c r="H7" s="3" t="s">
        <v>88</v>
      </c>
      <c r="I7" t="s">
        <v>13</v>
      </c>
    </row>
    <row r="8" spans="1:19" x14ac:dyDescent="0.35">
      <c r="A8" s="2">
        <v>44197</v>
      </c>
      <c r="B8" t="s">
        <v>45</v>
      </c>
      <c r="C8" t="s">
        <v>46</v>
      </c>
      <c r="D8" t="s">
        <v>47</v>
      </c>
      <c r="E8" t="s">
        <v>24</v>
      </c>
      <c r="F8" s="3">
        <v>18885.900000000001</v>
      </c>
      <c r="G8" s="3">
        <v>15000</v>
      </c>
      <c r="H8" s="3">
        <v>1888.5900000000001</v>
      </c>
      <c r="I8" t="s">
        <v>41</v>
      </c>
    </row>
    <row r="9" spans="1:19" x14ac:dyDescent="0.35">
      <c r="A9" s="2">
        <v>44197</v>
      </c>
      <c r="B9" t="s">
        <v>45</v>
      </c>
      <c r="C9" t="s">
        <v>46</v>
      </c>
      <c r="D9" t="s">
        <v>47</v>
      </c>
      <c r="E9" t="s">
        <v>24</v>
      </c>
      <c r="F9" s="3">
        <v>24236</v>
      </c>
      <c r="G9" s="3">
        <v>15000</v>
      </c>
      <c r="H9" s="3">
        <v>2423.6</v>
      </c>
      <c r="I9" t="s">
        <v>9</v>
      </c>
    </row>
    <row r="10" spans="1:19" x14ac:dyDescent="0.35">
      <c r="A10" s="2">
        <v>44228</v>
      </c>
      <c r="B10" t="s">
        <v>32</v>
      </c>
      <c r="C10" t="s">
        <v>33</v>
      </c>
      <c r="D10" t="s">
        <v>34</v>
      </c>
      <c r="E10" t="s">
        <v>24</v>
      </c>
      <c r="F10" s="3">
        <v>3596</v>
      </c>
      <c r="G10" s="3">
        <v>15000</v>
      </c>
      <c r="H10" s="3" t="s">
        <v>88</v>
      </c>
      <c r="I10" t="s">
        <v>13</v>
      </c>
    </row>
    <row r="11" spans="1:19" x14ac:dyDescent="0.35">
      <c r="A11" s="2">
        <v>44228</v>
      </c>
      <c r="B11" t="s">
        <v>54</v>
      </c>
      <c r="C11" t="s">
        <v>55</v>
      </c>
      <c r="D11" t="s">
        <v>56</v>
      </c>
      <c r="E11" t="s">
        <v>24</v>
      </c>
      <c r="F11" s="3">
        <v>6300</v>
      </c>
      <c r="G11" s="3">
        <v>15000</v>
      </c>
      <c r="H11" s="3" t="s">
        <v>88</v>
      </c>
      <c r="I11" t="s">
        <v>41</v>
      </c>
    </row>
    <row r="12" spans="1:19" x14ac:dyDescent="0.35">
      <c r="A12" s="2">
        <v>44228</v>
      </c>
      <c r="B12" t="s">
        <v>32</v>
      </c>
      <c r="C12" t="s">
        <v>33</v>
      </c>
      <c r="D12" t="s">
        <v>34</v>
      </c>
      <c r="E12" t="s">
        <v>24</v>
      </c>
      <c r="F12" s="3">
        <v>6804</v>
      </c>
      <c r="G12" s="3">
        <v>15000</v>
      </c>
      <c r="H12" s="3" t="s">
        <v>88</v>
      </c>
      <c r="I12" t="s">
        <v>9</v>
      </c>
    </row>
    <row r="13" spans="1:19" x14ac:dyDescent="0.35">
      <c r="A13" s="2">
        <v>44228</v>
      </c>
      <c r="B13" t="s">
        <v>48</v>
      </c>
      <c r="C13" t="s">
        <v>49</v>
      </c>
      <c r="D13" t="s">
        <v>50</v>
      </c>
      <c r="E13" t="s">
        <v>24</v>
      </c>
      <c r="F13" s="3">
        <v>8524.4000000000015</v>
      </c>
      <c r="G13" s="3">
        <v>15000</v>
      </c>
      <c r="H13" s="3" t="s">
        <v>88</v>
      </c>
      <c r="I13" t="s">
        <v>41</v>
      </c>
    </row>
    <row r="14" spans="1:19" x14ac:dyDescent="0.35">
      <c r="A14" s="2">
        <v>44228</v>
      </c>
      <c r="B14" t="s">
        <v>32</v>
      </c>
      <c r="C14" t="s">
        <v>33</v>
      </c>
      <c r="D14" t="s">
        <v>34</v>
      </c>
      <c r="E14" t="s">
        <v>24</v>
      </c>
      <c r="F14" s="3">
        <v>8772</v>
      </c>
      <c r="G14" s="3">
        <v>15000</v>
      </c>
      <c r="H14" s="3" t="s">
        <v>88</v>
      </c>
      <c r="I14" t="s">
        <v>41</v>
      </c>
    </row>
    <row r="15" spans="1:19" x14ac:dyDescent="0.35">
      <c r="A15" s="2">
        <v>44228</v>
      </c>
      <c r="B15" t="s">
        <v>32</v>
      </c>
      <c r="C15" t="s">
        <v>33</v>
      </c>
      <c r="D15" t="s">
        <v>34</v>
      </c>
      <c r="E15" t="s">
        <v>24</v>
      </c>
      <c r="F15" s="3">
        <v>17328.300000000003</v>
      </c>
      <c r="G15" s="3">
        <v>15000</v>
      </c>
      <c r="H15" s="3">
        <v>1732.8300000000004</v>
      </c>
      <c r="I15" t="s">
        <v>41</v>
      </c>
    </row>
    <row r="16" spans="1:19" x14ac:dyDescent="0.35">
      <c r="A16" s="2">
        <v>44228</v>
      </c>
      <c r="B16" t="s">
        <v>54</v>
      </c>
      <c r="C16" t="s">
        <v>55</v>
      </c>
      <c r="D16" t="s">
        <v>56</v>
      </c>
      <c r="E16" t="s">
        <v>24</v>
      </c>
      <c r="F16" s="3">
        <v>21438.899999999998</v>
      </c>
      <c r="G16" s="3">
        <v>15000</v>
      </c>
      <c r="H16" s="3">
        <v>2143.89</v>
      </c>
      <c r="I16" t="s">
        <v>9</v>
      </c>
    </row>
    <row r="17" spans="1:9" x14ac:dyDescent="0.35">
      <c r="A17" s="2">
        <v>44228</v>
      </c>
      <c r="B17" t="s">
        <v>48</v>
      </c>
      <c r="C17" t="s">
        <v>49</v>
      </c>
      <c r="D17" t="s">
        <v>50</v>
      </c>
      <c r="E17" t="s">
        <v>24</v>
      </c>
      <c r="F17" s="3">
        <v>26556.799999999999</v>
      </c>
      <c r="G17" s="3">
        <v>15000</v>
      </c>
      <c r="H17" s="3">
        <v>2655.6800000000003</v>
      </c>
      <c r="I17" t="s">
        <v>13</v>
      </c>
    </row>
    <row r="18" spans="1:9" x14ac:dyDescent="0.35">
      <c r="A18" s="2">
        <v>44228</v>
      </c>
      <c r="B18" t="s">
        <v>48</v>
      </c>
      <c r="C18" t="s">
        <v>49</v>
      </c>
      <c r="D18" t="s">
        <v>50</v>
      </c>
      <c r="E18" t="s">
        <v>24</v>
      </c>
      <c r="F18" s="3">
        <v>33132.600000000006</v>
      </c>
      <c r="G18" s="3">
        <v>15000</v>
      </c>
      <c r="H18" s="3">
        <v>3313.2600000000007</v>
      </c>
      <c r="I18" t="s">
        <v>41</v>
      </c>
    </row>
    <row r="19" spans="1:9" x14ac:dyDescent="0.35">
      <c r="A19" s="2">
        <v>44256</v>
      </c>
      <c r="B19" t="s">
        <v>32</v>
      </c>
      <c r="C19" t="s">
        <v>33</v>
      </c>
      <c r="D19" t="s">
        <v>34</v>
      </c>
      <c r="E19" t="s">
        <v>24</v>
      </c>
      <c r="F19" s="3">
        <v>6544.8</v>
      </c>
      <c r="G19" s="3">
        <v>15000</v>
      </c>
      <c r="H19" s="3" t="s">
        <v>88</v>
      </c>
      <c r="I19" t="s">
        <v>9</v>
      </c>
    </row>
    <row r="20" spans="1:9" x14ac:dyDescent="0.35">
      <c r="A20" s="2">
        <v>44256</v>
      </c>
      <c r="B20" t="s">
        <v>48</v>
      </c>
      <c r="C20" t="s">
        <v>49</v>
      </c>
      <c r="D20" t="s">
        <v>50</v>
      </c>
      <c r="E20" t="s">
        <v>24</v>
      </c>
      <c r="F20" s="3">
        <v>11166.300000000001</v>
      </c>
      <c r="G20" s="3">
        <v>15000</v>
      </c>
      <c r="H20" s="3" t="s">
        <v>88</v>
      </c>
      <c r="I20" t="s">
        <v>13</v>
      </c>
    </row>
    <row r="21" spans="1:9" x14ac:dyDescent="0.35">
      <c r="A21" s="2">
        <v>44256</v>
      </c>
      <c r="B21" t="s">
        <v>32</v>
      </c>
      <c r="C21" t="s">
        <v>33</v>
      </c>
      <c r="D21" t="s">
        <v>34</v>
      </c>
      <c r="E21" t="s">
        <v>24</v>
      </c>
      <c r="F21" s="3">
        <v>11403</v>
      </c>
      <c r="G21" s="3">
        <v>15000</v>
      </c>
      <c r="H21" s="3" t="s">
        <v>88</v>
      </c>
      <c r="I21" t="s">
        <v>13</v>
      </c>
    </row>
    <row r="22" spans="1:9" x14ac:dyDescent="0.35">
      <c r="A22" s="2">
        <v>44256</v>
      </c>
      <c r="B22" t="s">
        <v>32</v>
      </c>
      <c r="C22" t="s">
        <v>33</v>
      </c>
      <c r="D22" t="s">
        <v>34</v>
      </c>
      <c r="E22" t="s">
        <v>24</v>
      </c>
      <c r="F22" s="3">
        <v>11554.400000000001</v>
      </c>
      <c r="G22" s="3">
        <v>15000</v>
      </c>
      <c r="H22" s="3" t="s">
        <v>88</v>
      </c>
      <c r="I22" t="s">
        <v>13</v>
      </c>
    </row>
    <row r="23" spans="1:9" x14ac:dyDescent="0.35">
      <c r="A23" s="2">
        <v>44256</v>
      </c>
      <c r="B23" t="s">
        <v>21</v>
      </c>
      <c r="C23" t="s">
        <v>22</v>
      </c>
      <c r="D23" t="s">
        <v>23</v>
      </c>
      <c r="E23" t="s">
        <v>24</v>
      </c>
      <c r="F23" s="3">
        <v>12143.999999999998</v>
      </c>
      <c r="G23" s="3">
        <v>15000</v>
      </c>
      <c r="H23" s="3" t="s">
        <v>88</v>
      </c>
      <c r="I23" t="s">
        <v>13</v>
      </c>
    </row>
    <row r="24" spans="1:9" x14ac:dyDescent="0.35">
      <c r="A24" s="2">
        <v>44256</v>
      </c>
      <c r="B24" t="s">
        <v>21</v>
      </c>
      <c r="C24" t="s">
        <v>22</v>
      </c>
      <c r="D24" t="s">
        <v>23</v>
      </c>
      <c r="E24" t="s">
        <v>24</v>
      </c>
      <c r="F24" s="3">
        <v>13244.7</v>
      </c>
      <c r="G24" s="3">
        <v>15000</v>
      </c>
      <c r="H24" s="3" t="s">
        <v>88</v>
      </c>
      <c r="I24" t="s">
        <v>9</v>
      </c>
    </row>
    <row r="25" spans="1:9" x14ac:dyDescent="0.35">
      <c r="A25" s="2">
        <v>44256</v>
      </c>
      <c r="B25" t="s">
        <v>45</v>
      </c>
      <c r="C25" t="s">
        <v>46</v>
      </c>
      <c r="D25" t="s">
        <v>47</v>
      </c>
      <c r="E25" t="s">
        <v>24</v>
      </c>
      <c r="F25" s="3">
        <v>23014.400000000001</v>
      </c>
      <c r="G25" s="3">
        <v>15000</v>
      </c>
      <c r="H25" s="3">
        <v>2301.44</v>
      </c>
      <c r="I25" t="s">
        <v>9</v>
      </c>
    </row>
    <row r="26" spans="1:9" x14ac:dyDescent="0.35">
      <c r="A26" s="2">
        <v>44256</v>
      </c>
      <c r="B26" t="s">
        <v>21</v>
      </c>
      <c r="C26" t="s">
        <v>22</v>
      </c>
      <c r="D26" t="s">
        <v>23</v>
      </c>
      <c r="E26" t="s">
        <v>24</v>
      </c>
      <c r="F26" s="3">
        <v>26200</v>
      </c>
      <c r="G26" s="3">
        <v>15000</v>
      </c>
      <c r="H26" s="3">
        <v>2620</v>
      </c>
      <c r="I26" t="s">
        <v>13</v>
      </c>
    </row>
    <row r="27" spans="1:9" x14ac:dyDescent="0.35">
      <c r="A27" s="2">
        <v>44256</v>
      </c>
      <c r="B27" t="s">
        <v>48</v>
      </c>
      <c r="C27" t="s">
        <v>49</v>
      </c>
      <c r="D27" t="s">
        <v>50</v>
      </c>
      <c r="E27" t="s">
        <v>24</v>
      </c>
      <c r="F27" s="3">
        <v>28286.399999999998</v>
      </c>
      <c r="G27" s="3">
        <v>15000</v>
      </c>
      <c r="H27" s="3">
        <v>2828.64</v>
      </c>
      <c r="I27" t="s">
        <v>9</v>
      </c>
    </row>
    <row r="28" spans="1:9" x14ac:dyDescent="0.35">
      <c r="A28" s="2">
        <v>44256</v>
      </c>
      <c r="B28" t="s">
        <v>21</v>
      </c>
      <c r="C28" t="s">
        <v>22</v>
      </c>
      <c r="D28" t="s">
        <v>23</v>
      </c>
      <c r="E28" t="s">
        <v>24</v>
      </c>
      <c r="F28" s="3">
        <v>35715.4</v>
      </c>
      <c r="G28" s="3">
        <v>15000</v>
      </c>
      <c r="H28" s="3">
        <v>3571.5400000000004</v>
      </c>
      <c r="I28" t="s">
        <v>13</v>
      </c>
    </row>
    <row r="29" spans="1:9" x14ac:dyDescent="0.35">
      <c r="A29" s="2">
        <v>44287</v>
      </c>
      <c r="B29" t="s">
        <v>54</v>
      </c>
      <c r="C29" t="s">
        <v>55</v>
      </c>
      <c r="D29" t="s">
        <v>56</v>
      </c>
      <c r="E29" t="s">
        <v>24</v>
      </c>
      <c r="F29" s="3">
        <v>6960</v>
      </c>
      <c r="G29" s="3">
        <v>15000</v>
      </c>
      <c r="H29" s="3" t="s">
        <v>88</v>
      </c>
      <c r="I29" t="s">
        <v>41</v>
      </c>
    </row>
    <row r="30" spans="1:9" x14ac:dyDescent="0.35">
      <c r="A30" s="2">
        <v>44287</v>
      </c>
      <c r="B30" t="s">
        <v>45</v>
      </c>
      <c r="C30" t="s">
        <v>46</v>
      </c>
      <c r="D30" t="s">
        <v>47</v>
      </c>
      <c r="E30" t="s">
        <v>24</v>
      </c>
      <c r="F30" s="3">
        <v>9627.8999999999978</v>
      </c>
      <c r="G30" s="3">
        <v>15000</v>
      </c>
      <c r="H30" s="3" t="s">
        <v>88</v>
      </c>
      <c r="I30" t="s">
        <v>9</v>
      </c>
    </row>
    <row r="31" spans="1:9" x14ac:dyDescent="0.35">
      <c r="A31" s="2">
        <v>44287</v>
      </c>
      <c r="B31" t="s">
        <v>32</v>
      </c>
      <c r="C31" t="s">
        <v>33</v>
      </c>
      <c r="D31" t="s">
        <v>34</v>
      </c>
      <c r="E31" t="s">
        <v>24</v>
      </c>
      <c r="F31" s="3">
        <v>13725.600000000002</v>
      </c>
      <c r="G31" s="3">
        <v>15000</v>
      </c>
      <c r="H31" s="3" t="s">
        <v>88</v>
      </c>
      <c r="I31" t="s">
        <v>41</v>
      </c>
    </row>
    <row r="32" spans="1:9" x14ac:dyDescent="0.35">
      <c r="A32" s="2">
        <v>44287</v>
      </c>
      <c r="B32" t="s">
        <v>45</v>
      </c>
      <c r="C32" t="s">
        <v>46</v>
      </c>
      <c r="D32" t="s">
        <v>47</v>
      </c>
      <c r="E32" t="s">
        <v>24</v>
      </c>
      <c r="F32" s="3">
        <v>15353.2</v>
      </c>
      <c r="G32" s="3">
        <v>15000</v>
      </c>
      <c r="H32" s="3">
        <v>1535.3200000000002</v>
      </c>
      <c r="I32" t="s">
        <v>9</v>
      </c>
    </row>
    <row r="33" spans="1:9" x14ac:dyDescent="0.35">
      <c r="A33" s="2">
        <v>44287</v>
      </c>
      <c r="B33" t="s">
        <v>21</v>
      </c>
      <c r="C33" t="s">
        <v>22</v>
      </c>
      <c r="D33" t="s">
        <v>23</v>
      </c>
      <c r="E33" t="s">
        <v>24</v>
      </c>
      <c r="F33" s="3">
        <v>18994.5</v>
      </c>
      <c r="G33" s="3">
        <v>15000</v>
      </c>
      <c r="H33" s="3">
        <v>1899.45</v>
      </c>
      <c r="I33" t="s">
        <v>13</v>
      </c>
    </row>
    <row r="34" spans="1:9" x14ac:dyDescent="0.35">
      <c r="A34" s="2">
        <v>44287</v>
      </c>
      <c r="B34" t="s">
        <v>21</v>
      </c>
      <c r="C34" t="s">
        <v>22</v>
      </c>
      <c r="D34" t="s">
        <v>23</v>
      </c>
      <c r="E34" t="s">
        <v>24</v>
      </c>
      <c r="F34" s="3">
        <v>28628.799999999996</v>
      </c>
      <c r="G34" s="3">
        <v>15000</v>
      </c>
      <c r="H34" s="3">
        <v>2862.8799999999997</v>
      </c>
      <c r="I34" t="s">
        <v>41</v>
      </c>
    </row>
    <row r="35" spans="1:9" x14ac:dyDescent="0.35">
      <c r="A35" s="2">
        <v>44317</v>
      </c>
      <c r="B35" t="s">
        <v>54</v>
      </c>
      <c r="C35" t="s">
        <v>55</v>
      </c>
      <c r="D35" t="s">
        <v>56</v>
      </c>
      <c r="E35" t="s">
        <v>24</v>
      </c>
      <c r="F35" s="3">
        <v>10948</v>
      </c>
      <c r="G35" s="3">
        <v>15000</v>
      </c>
      <c r="H35" s="3" t="s">
        <v>88</v>
      </c>
      <c r="I35" t="s">
        <v>9</v>
      </c>
    </row>
    <row r="36" spans="1:9" x14ac:dyDescent="0.35">
      <c r="A36" s="2">
        <v>44317</v>
      </c>
      <c r="B36" t="s">
        <v>48</v>
      </c>
      <c r="C36" t="s">
        <v>49</v>
      </c>
      <c r="D36" t="s">
        <v>50</v>
      </c>
      <c r="E36" t="s">
        <v>24</v>
      </c>
      <c r="F36" s="3">
        <v>13044.899999999998</v>
      </c>
      <c r="G36" s="3">
        <v>15000</v>
      </c>
      <c r="H36" s="3" t="s">
        <v>88</v>
      </c>
      <c r="I36" t="s">
        <v>9</v>
      </c>
    </row>
    <row r="37" spans="1:9" x14ac:dyDescent="0.35">
      <c r="A37" s="2">
        <v>44317</v>
      </c>
      <c r="B37" t="s">
        <v>45</v>
      </c>
      <c r="C37" t="s">
        <v>46</v>
      </c>
      <c r="D37" t="s">
        <v>47</v>
      </c>
      <c r="E37" t="s">
        <v>24</v>
      </c>
      <c r="F37" s="3">
        <v>28616</v>
      </c>
      <c r="G37" s="3">
        <v>15000</v>
      </c>
      <c r="H37" s="3">
        <v>2861.6000000000004</v>
      </c>
      <c r="I37" t="s">
        <v>41</v>
      </c>
    </row>
    <row r="38" spans="1:9" x14ac:dyDescent="0.35">
      <c r="A38" s="2">
        <v>44317</v>
      </c>
      <c r="B38" t="s">
        <v>32</v>
      </c>
      <c r="C38" t="s">
        <v>33</v>
      </c>
      <c r="D38" t="s">
        <v>34</v>
      </c>
      <c r="E38" t="s">
        <v>24</v>
      </c>
      <c r="F38" s="3">
        <v>30377.399999999998</v>
      </c>
      <c r="G38" s="3">
        <v>15000</v>
      </c>
      <c r="H38" s="3">
        <v>3037.74</v>
      </c>
      <c r="I38" t="s">
        <v>41</v>
      </c>
    </row>
    <row r="39" spans="1:9" x14ac:dyDescent="0.35">
      <c r="A39" s="2">
        <v>44317</v>
      </c>
      <c r="B39" t="s">
        <v>45</v>
      </c>
      <c r="C39" t="s">
        <v>46</v>
      </c>
      <c r="D39" t="s">
        <v>47</v>
      </c>
      <c r="E39" t="s">
        <v>24</v>
      </c>
      <c r="F39" s="3">
        <v>35351</v>
      </c>
      <c r="G39" s="3">
        <v>15000</v>
      </c>
      <c r="H39" s="3">
        <v>3535.1000000000004</v>
      </c>
      <c r="I39" t="s">
        <v>13</v>
      </c>
    </row>
    <row r="40" spans="1:9" x14ac:dyDescent="0.35">
      <c r="A40" s="2">
        <v>44348</v>
      </c>
      <c r="B40" t="s">
        <v>45</v>
      </c>
      <c r="C40" t="s">
        <v>46</v>
      </c>
      <c r="D40" t="s">
        <v>47</v>
      </c>
      <c r="E40" t="s">
        <v>24</v>
      </c>
      <c r="F40" s="3">
        <v>6872.7999999999993</v>
      </c>
      <c r="G40" s="3">
        <v>15000</v>
      </c>
      <c r="H40" s="3" t="s">
        <v>88</v>
      </c>
      <c r="I40" t="s">
        <v>9</v>
      </c>
    </row>
    <row r="41" spans="1:9" x14ac:dyDescent="0.35">
      <c r="A41" s="2">
        <v>44348</v>
      </c>
      <c r="B41" t="s">
        <v>32</v>
      </c>
      <c r="C41" t="s">
        <v>33</v>
      </c>
      <c r="D41" t="s">
        <v>34</v>
      </c>
      <c r="E41" t="s">
        <v>24</v>
      </c>
      <c r="F41" s="3">
        <v>8827</v>
      </c>
      <c r="G41" s="3">
        <v>15000</v>
      </c>
      <c r="H41" s="3" t="s">
        <v>88</v>
      </c>
      <c r="I41" t="s">
        <v>41</v>
      </c>
    </row>
    <row r="42" spans="1:9" x14ac:dyDescent="0.35">
      <c r="A42" s="2">
        <v>44348</v>
      </c>
      <c r="B42" t="s">
        <v>54</v>
      </c>
      <c r="C42" t="s">
        <v>55</v>
      </c>
      <c r="D42" t="s">
        <v>56</v>
      </c>
      <c r="E42" t="s">
        <v>24</v>
      </c>
      <c r="F42" s="3">
        <v>9836.8000000000011</v>
      </c>
      <c r="G42" s="3">
        <v>15000</v>
      </c>
      <c r="H42" s="3" t="s">
        <v>88</v>
      </c>
      <c r="I42" t="s">
        <v>9</v>
      </c>
    </row>
    <row r="43" spans="1:9" x14ac:dyDescent="0.35">
      <c r="A43" s="2">
        <v>44348</v>
      </c>
      <c r="B43" t="s">
        <v>32</v>
      </c>
      <c r="C43" t="s">
        <v>33</v>
      </c>
      <c r="D43" t="s">
        <v>34</v>
      </c>
      <c r="E43" t="s">
        <v>24</v>
      </c>
      <c r="F43" s="3">
        <v>10032</v>
      </c>
      <c r="G43" s="3">
        <v>15000</v>
      </c>
      <c r="H43" s="3" t="s">
        <v>88</v>
      </c>
      <c r="I43" t="s">
        <v>9</v>
      </c>
    </row>
    <row r="44" spans="1:9" x14ac:dyDescent="0.35">
      <c r="A44" s="2">
        <v>44348</v>
      </c>
      <c r="B44" t="s">
        <v>32</v>
      </c>
      <c r="C44" t="s">
        <v>33</v>
      </c>
      <c r="D44" t="s">
        <v>34</v>
      </c>
      <c r="E44" t="s">
        <v>24</v>
      </c>
      <c r="F44" s="3">
        <v>15953.599999999999</v>
      </c>
      <c r="G44" s="3">
        <v>15000</v>
      </c>
      <c r="H44" s="3">
        <v>1595.36</v>
      </c>
      <c r="I44" t="s">
        <v>13</v>
      </c>
    </row>
    <row r="45" spans="1:9" x14ac:dyDescent="0.35">
      <c r="A45" s="2">
        <v>44348</v>
      </c>
      <c r="B45" t="s">
        <v>45</v>
      </c>
      <c r="C45" t="s">
        <v>46</v>
      </c>
      <c r="D45" t="s">
        <v>47</v>
      </c>
      <c r="E45" t="s">
        <v>24</v>
      </c>
      <c r="F45" s="3">
        <v>25560</v>
      </c>
      <c r="G45" s="3">
        <v>15000</v>
      </c>
      <c r="H45" s="3">
        <v>2556</v>
      </c>
      <c r="I45" t="s">
        <v>9</v>
      </c>
    </row>
    <row r="46" spans="1:9" x14ac:dyDescent="0.35">
      <c r="A46" s="2">
        <v>44348</v>
      </c>
      <c r="B46" t="s">
        <v>32</v>
      </c>
      <c r="C46" t="s">
        <v>33</v>
      </c>
      <c r="D46" t="s">
        <v>34</v>
      </c>
      <c r="E46" t="s">
        <v>24</v>
      </c>
      <c r="F46" s="3">
        <v>35695</v>
      </c>
      <c r="G46" s="3">
        <v>15000</v>
      </c>
      <c r="H46" s="3">
        <v>3569.5</v>
      </c>
      <c r="I46" t="s">
        <v>13</v>
      </c>
    </row>
    <row r="47" spans="1:9" x14ac:dyDescent="0.35">
      <c r="A47" s="2">
        <v>44378</v>
      </c>
      <c r="B47" t="s">
        <v>54</v>
      </c>
      <c r="C47" t="s">
        <v>55</v>
      </c>
      <c r="D47" t="s">
        <v>56</v>
      </c>
      <c r="E47" t="s">
        <v>24</v>
      </c>
      <c r="F47" s="3">
        <v>9405.2999999999993</v>
      </c>
      <c r="G47" s="3">
        <v>15000</v>
      </c>
      <c r="H47" s="3" t="s">
        <v>88</v>
      </c>
      <c r="I47" t="s">
        <v>13</v>
      </c>
    </row>
    <row r="48" spans="1:9" x14ac:dyDescent="0.35">
      <c r="A48" s="2">
        <v>44378</v>
      </c>
      <c r="B48" t="s">
        <v>45</v>
      </c>
      <c r="C48" t="s">
        <v>46</v>
      </c>
      <c r="D48" t="s">
        <v>47</v>
      </c>
      <c r="E48" t="s">
        <v>24</v>
      </c>
      <c r="F48" s="3">
        <v>9704.1999999999989</v>
      </c>
      <c r="G48" s="3">
        <v>15000</v>
      </c>
      <c r="H48" s="3" t="s">
        <v>88</v>
      </c>
      <c r="I48" t="s">
        <v>41</v>
      </c>
    </row>
    <row r="49" spans="1:9" x14ac:dyDescent="0.35">
      <c r="A49" s="2">
        <v>44378</v>
      </c>
      <c r="B49" t="s">
        <v>54</v>
      </c>
      <c r="C49" t="s">
        <v>55</v>
      </c>
      <c r="D49" t="s">
        <v>56</v>
      </c>
      <c r="E49" t="s">
        <v>24</v>
      </c>
      <c r="F49" s="3">
        <v>13674</v>
      </c>
      <c r="G49" s="3">
        <v>15000</v>
      </c>
      <c r="H49" s="3" t="s">
        <v>88</v>
      </c>
      <c r="I49" t="s">
        <v>13</v>
      </c>
    </row>
    <row r="50" spans="1:9" x14ac:dyDescent="0.35">
      <c r="A50" s="2">
        <v>44378</v>
      </c>
      <c r="B50" t="s">
        <v>32</v>
      </c>
      <c r="C50" t="s">
        <v>33</v>
      </c>
      <c r="D50" t="s">
        <v>34</v>
      </c>
      <c r="E50" t="s">
        <v>24</v>
      </c>
      <c r="F50" s="3">
        <v>21120.400000000001</v>
      </c>
      <c r="G50" s="3">
        <v>15000</v>
      </c>
      <c r="H50" s="3">
        <v>2112.0400000000004</v>
      </c>
      <c r="I50" t="s">
        <v>13</v>
      </c>
    </row>
    <row r="51" spans="1:9" x14ac:dyDescent="0.35">
      <c r="A51" s="2">
        <v>44378</v>
      </c>
      <c r="B51" t="s">
        <v>32</v>
      </c>
      <c r="C51" t="s">
        <v>33</v>
      </c>
      <c r="D51" t="s">
        <v>34</v>
      </c>
      <c r="E51" t="s">
        <v>24</v>
      </c>
      <c r="F51" s="3">
        <v>23997.600000000002</v>
      </c>
      <c r="G51" s="3">
        <v>15000</v>
      </c>
      <c r="H51" s="3">
        <v>2399.7600000000002</v>
      </c>
      <c r="I51" t="s">
        <v>9</v>
      </c>
    </row>
    <row r="52" spans="1:9" x14ac:dyDescent="0.35">
      <c r="A52" s="2">
        <v>44378</v>
      </c>
      <c r="B52" t="s">
        <v>32</v>
      </c>
      <c r="C52" t="s">
        <v>33</v>
      </c>
      <c r="D52" t="s">
        <v>34</v>
      </c>
      <c r="E52" t="s">
        <v>24</v>
      </c>
      <c r="F52" s="3">
        <v>35715.4</v>
      </c>
      <c r="G52" s="3">
        <v>15000</v>
      </c>
      <c r="H52" s="3">
        <v>3571.5400000000004</v>
      </c>
      <c r="I52" t="s">
        <v>41</v>
      </c>
    </row>
    <row r="53" spans="1:9" x14ac:dyDescent="0.35">
      <c r="A53" s="2">
        <v>44409</v>
      </c>
      <c r="B53" t="s">
        <v>32</v>
      </c>
      <c r="C53" t="s">
        <v>33</v>
      </c>
      <c r="D53" t="s">
        <v>34</v>
      </c>
      <c r="E53" t="s">
        <v>24</v>
      </c>
      <c r="F53" s="3">
        <v>3386.6000000000004</v>
      </c>
      <c r="G53" s="3">
        <v>15000</v>
      </c>
      <c r="H53" s="3" t="s">
        <v>88</v>
      </c>
      <c r="I53" t="s">
        <v>13</v>
      </c>
    </row>
    <row r="54" spans="1:9" x14ac:dyDescent="0.35">
      <c r="A54" s="2">
        <v>44409</v>
      </c>
      <c r="B54" t="s">
        <v>45</v>
      </c>
      <c r="C54" t="s">
        <v>46</v>
      </c>
      <c r="D54" t="s">
        <v>47</v>
      </c>
      <c r="E54" t="s">
        <v>24</v>
      </c>
      <c r="F54" s="3">
        <v>4028</v>
      </c>
      <c r="G54" s="3">
        <v>15000</v>
      </c>
      <c r="H54" s="3" t="s">
        <v>88</v>
      </c>
      <c r="I54" t="s">
        <v>9</v>
      </c>
    </row>
    <row r="55" spans="1:9" x14ac:dyDescent="0.35">
      <c r="A55" s="2">
        <v>44409</v>
      </c>
      <c r="B55" t="s">
        <v>21</v>
      </c>
      <c r="C55" t="s">
        <v>22</v>
      </c>
      <c r="D55" t="s">
        <v>23</v>
      </c>
      <c r="E55" t="s">
        <v>24</v>
      </c>
      <c r="F55" s="3">
        <v>5532.7999999999993</v>
      </c>
      <c r="G55" s="3">
        <v>15000</v>
      </c>
      <c r="H55" s="3" t="s">
        <v>88</v>
      </c>
      <c r="I55" t="s">
        <v>13</v>
      </c>
    </row>
    <row r="56" spans="1:9" x14ac:dyDescent="0.35">
      <c r="A56" s="2">
        <v>44409</v>
      </c>
      <c r="B56" t="s">
        <v>32</v>
      </c>
      <c r="C56" t="s">
        <v>33</v>
      </c>
      <c r="D56" t="s">
        <v>34</v>
      </c>
      <c r="E56" t="s">
        <v>24</v>
      </c>
      <c r="F56" s="3">
        <v>10200</v>
      </c>
      <c r="G56" s="3">
        <v>15000</v>
      </c>
      <c r="H56" s="3" t="s">
        <v>88</v>
      </c>
      <c r="I56" t="s">
        <v>41</v>
      </c>
    </row>
    <row r="57" spans="1:9" x14ac:dyDescent="0.35">
      <c r="A57" s="2">
        <v>44409</v>
      </c>
      <c r="B57" t="s">
        <v>21</v>
      </c>
      <c r="C57" t="s">
        <v>22</v>
      </c>
      <c r="D57" t="s">
        <v>23</v>
      </c>
      <c r="E57" t="s">
        <v>24</v>
      </c>
      <c r="F57" s="3">
        <v>13923</v>
      </c>
      <c r="G57" s="3">
        <v>15000</v>
      </c>
      <c r="H57" s="3" t="s">
        <v>88</v>
      </c>
      <c r="I57" t="s">
        <v>41</v>
      </c>
    </row>
    <row r="58" spans="1:9" x14ac:dyDescent="0.35">
      <c r="A58" s="2">
        <v>44409</v>
      </c>
      <c r="B58" t="s">
        <v>45</v>
      </c>
      <c r="C58" t="s">
        <v>46</v>
      </c>
      <c r="D58" t="s">
        <v>47</v>
      </c>
      <c r="E58" t="s">
        <v>24</v>
      </c>
      <c r="F58" s="3">
        <v>17593.399999999998</v>
      </c>
      <c r="G58" s="3">
        <v>15000</v>
      </c>
      <c r="H58" s="3">
        <v>1759.34</v>
      </c>
      <c r="I58" t="s">
        <v>13</v>
      </c>
    </row>
    <row r="59" spans="1:9" x14ac:dyDescent="0.35">
      <c r="A59" s="2">
        <v>44409</v>
      </c>
      <c r="B59" t="s">
        <v>54</v>
      </c>
      <c r="C59" t="s">
        <v>55</v>
      </c>
      <c r="D59" t="s">
        <v>56</v>
      </c>
      <c r="E59" t="s">
        <v>24</v>
      </c>
      <c r="F59" s="3">
        <v>17666</v>
      </c>
      <c r="G59" s="3">
        <v>15000</v>
      </c>
      <c r="H59" s="3">
        <v>1766.6000000000001</v>
      </c>
      <c r="I59" t="s">
        <v>9</v>
      </c>
    </row>
    <row r="60" spans="1:9" x14ac:dyDescent="0.35">
      <c r="A60" s="2">
        <v>44409</v>
      </c>
      <c r="B60" t="s">
        <v>32</v>
      </c>
      <c r="C60" t="s">
        <v>33</v>
      </c>
      <c r="D60" t="s">
        <v>34</v>
      </c>
      <c r="E60" t="s">
        <v>24</v>
      </c>
      <c r="F60" s="3">
        <v>21420</v>
      </c>
      <c r="G60" s="3">
        <v>15000</v>
      </c>
      <c r="H60" s="3">
        <v>2142</v>
      </c>
      <c r="I60" t="s">
        <v>41</v>
      </c>
    </row>
    <row r="61" spans="1:9" x14ac:dyDescent="0.35">
      <c r="A61" s="2">
        <v>44409</v>
      </c>
      <c r="B61" t="s">
        <v>21</v>
      </c>
      <c r="C61" t="s">
        <v>22</v>
      </c>
      <c r="D61" t="s">
        <v>23</v>
      </c>
      <c r="E61" t="s">
        <v>24</v>
      </c>
      <c r="F61" s="3">
        <v>24080</v>
      </c>
      <c r="G61" s="3">
        <v>15000</v>
      </c>
      <c r="H61" s="3">
        <v>2408</v>
      </c>
      <c r="I61" t="s">
        <v>9</v>
      </c>
    </row>
    <row r="62" spans="1:9" x14ac:dyDescent="0.35">
      <c r="A62" s="2">
        <v>44409</v>
      </c>
      <c r="B62" t="s">
        <v>45</v>
      </c>
      <c r="C62" t="s">
        <v>46</v>
      </c>
      <c r="D62" t="s">
        <v>47</v>
      </c>
      <c r="E62" t="s">
        <v>24</v>
      </c>
      <c r="F62" s="3">
        <v>27531</v>
      </c>
      <c r="G62" s="3">
        <v>15000</v>
      </c>
      <c r="H62" s="3">
        <v>2753.1000000000004</v>
      </c>
      <c r="I62" t="s">
        <v>41</v>
      </c>
    </row>
    <row r="63" spans="1:9" x14ac:dyDescent="0.35">
      <c r="A63" s="2">
        <v>44409</v>
      </c>
      <c r="B63" t="s">
        <v>54</v>
      </c>
      <c r="C63" t="s">
        <v>55</v>
      </c>
      <c r="D63" t="s">
        <v>56</v>
      </c>
      <c r="E63" t="s">
        <v>24</v>
      </c>
      <c r="F63" s="3">
        <v>32795.700000000004</v>
      </c>
      <c r="G63" s="3">
        <v>15000</v>
      </c>
      <c r="H63" s="3">
        <v>3279.5700000000006</v>
      </c>
      <c r="I63" t="s">
        <v>13</v>
      </c>
    </row>
    <row r="64" spans="1:9" x14ac:dyDescent="0.35">
      <c r="A64" s="2">
        <v>44440</v>
      </c>
      <c r="B64" t="s">
        <v>45</v>
      </c>
      <c r="C64" t="s">
        <v>46</v>
      </c>
      <c r="D64" t="s">
        <v>47</v>
      </c>
      <c r="E64" t="s">
        <v>24</v>
      </c>
      <c r="F64" s="3">
        <v>7008</v>
      </c>
      <c r="G64" s="3">
        <v>15000</v>
      </c>
      <c r="H64" s="3" t="s">
        <v>88</v>
      </c>
      <c r="I64" t="s">
        <v>41</v>
      </c>
    </row>
    <row r="65" spans="1:9" x14ac:dyDescent="0.35">
      <c r="A65" s="2">
        <v>44440</v>
      </c>
      <c r="B65" t="s">
        <v>21</v>
      </c>
      <c r="C65" t="s">
        <v>22</v>
      </c>
      <c r="D65" t="s">
        <v>23</v>
      </c>
      <c r="E65" t="s">
        <v>24</v>
      </c>
      <c r="F65" s="3">
        <v>8099.6999999999989</v>
      </c>
      <c r="G65" s="3">
        <v>15000</v>
      </c>
      <c r="H65" s="3" t="s">
        <v>88</v>
      </c>
      <c r="I65" t="s">
        <v>9</v>
      </c>
    </row>
    <row r="66" spans="1:9" x14ac:dyDescent="0.35">
      <c r="A66" s="2">
        <v>44440</v>
      </c>
      <c r="B66" t="s">
        <v>32</v>
      </c>
      <c r="C66" t="s">
        <v>33</v>
      </c>
      <c r="D66" t="s">
        <v>34</v>
      </c>
      <c r="E66" t="s">
        <v>24</v>
      </c>
      <c r="F66" s="3">
        <v>9840</v>
      </c>
      <c r="G66" s="3">
        <v>15000</v>
      </c>
      <c r="H66" s="3" t="s">
        <v>88</v>
      </c>
      <c r="I66" t="s">
        <v>13</v>
      </c>
    </row>
    <row r="67" spans="1:9" x14ac:dyDescent="0.35">
      <c r="A67" s="2">
        <v>44440</v>
      </c>
      <c r="B67" t="s">
        <v>48</v>
      </c>
      <c r="C67" t="s">
        <v>49</v>
      </c>
      <c r="D67" t="s">
        <v>50</v>
      </c>
      <c r="E67" t="s">
        <v>24</v>
      </c>
      <c r="F67" s="3">
        <v>10218</v>
      </c>
      <c r="G67" s="3">
        <v>15000</v>
      </c>
      <c r="H67" s="3" t="s">
        <v>88</v>
      </c>
      <c r="I67" t="s">
        <v>13</v>
      </c>
    </row>
    <row r="68" spans="1:9" x14ac:dyDescent="0.35">
      <c r="A68" s="2">
        <v>44440</v>
      </c>
      <c r="B68" t="s">
        <v>32</v>
      </c>
      <c r="C68" t="s">
        <v>33</v>
      </c>
      <c r="D68" t="s">
        <v>34</v>
      </c>
      <c r="E68" t="s">
        <v>24</v>
      </c>
      <c r="F68" s="3">
        <v>14311.2</v>
      </c>
      <c r="G68" s="3">
        <v>15000</v>
      </c>
      <c r="H68" s="3" t="s">
        <v>88</v>
      </c>
      <c r="I68" t="s">
        <v>9</v>
      </c>
    </row>
    <row r="69" spans="1:9" x14ac:dyDescent="0.35">
      <c r="A69" s="2">
        <v>44440</v>
      </c>
      <c r="B69" t="s">
        <v>32</v>
      </c>
      <c r="C69" t="s">
        <v>33</v>
      </c>
      <c r="D69" t="s">
        <v>34</v>
      </c>
      <c r="E69" t="s">
        <v>24</v>
      </c>
      <c r="F69" s="3">
        <v>14715.2</v>
      </c>
      <c r="G69" s="3">
        <v>15000</v>
      </c>
      <c r="H69" s="3" t="s">
        <v>88</v>
      </c>
      <c r="I69" t="s">
        <v>13</v>
      </c>
    </row>
    <row r="70" spans="1:9" x14ac:dyDescent="0.35">
      <c r="A70" s="2">
        <v>44440</v>
      </c>
      <c r="B70" t="s">
        <v>54</v>
      </c>
      <c r="C70" t="s">
        <v>55</v>
      </c>
      <c r="D70" t="s">
        <v>56</v>
      </c>
      <c r="E70" t="s">
        <v>24</v>
      </c>
      <c r="F70" s="3">
        <v>19147.8</v>
      </c>
      <c r="G70" s="3">
        <v>15000</v>
      </c>
      <c r="H70" s="3">
        <v>1914.78</v>
      </c>
      <c r="I70" t="s">
        <v>13</v>
      </c>
    </row>
    <row r="71" spans="1:9" x14ac:dyDescent="0.35">
      <c r="A71" s="2">
        <v>44440</v>
      </c>
      <c r="B71" t="s">
        <v>32</v>
      </c>
      <c r="C71" t="s">
        <v>33</v>
      </c>
      <c r="D71" t="s">
        <v>34</v>
      </c>
      <c r="E71" t="s">
        <v>24</v>
      </c>
      <c r="F71" s="3">
        <v>20760.300000000003</v>
      </c>
      <c r="G71" s="3">
        <v>15000</v>
      </c>
      <c r="H71" s="3">
        <v>2076.0300000000002</v>
      </c>
      <c r="I71" t="s">
        <v>13</v>
      </c>
    </row>
    <row r="72" spans="1:9" x14ac:dyDescent="0.35">
      <c r="A72" s="2">
        <v>44440</v>
      </c>
      <c r="B72" t="s">
        <v>54</v>
      </c>
      <c r="C72" t="s">
        <v>55</v>
      </c>
      <c r="D72" t="s">
        <v>56</v>
      </c>
      <c r="E72" t="s">
        <v>24</v>
      </c>
      <c r="F72" s="3">
        <v>24579.8</v>
      </c>
      <c r="G72" s="3">
        <v>15000</v>
      </c>
      <c r="H72" s="3">
        <v>2457.98</v>
      </c>
      <c r="I72" t="s">
        <v>9</v>
      </c>
    </row>
    <row r="73" spans="1:9" x14ac:dyDescent="0.35">
      <c r="A73" s="2">
        <v>44440</v>
      </c>
      <c r="B73" t="s">
        <v>54</v>
      </c>
      <c r="C73" t="s">
        <v>55</v>
      </c>
      <c r="D73" t="s">
        <v>56</v>
      </c>
      <c r="E73" t="s">
        <v>24</v>
      </c>
      <c r="F73" s="3">
        <v>25946.300000000003</v>
      </c>
      <c r="G73" s="3">
        <v>15000</v>
      </c>
      <c r="H73" s="3">
        <v>2594.6300000000006</v>
      </c>
      <c r="I73" t="s">
        <v>41</v>
      </c>
    </row>
    <row r="74" spans="1:9" x14ac:dyDescent="0.35">
      <c r="A74" s="2">
        <v>44440</v>
      </c>
      <c r="B74" t="s">
        <v>21</v>
      </c>
      <c r="C74" t="s">
        <v>22</v>
      </c>
      <c r="D74" t="s">
        <v>23</v>
      </c>
      <c r="E74" t="s">
        <v>24</v>
      </c>
      <c r="F74" s="3">
        <v>30367.999999999996</v>
      </c>
      <c r="G74" s="3">
        <v>15000</v>
      </c>
      <c r="H74" s="3">
        <v>3036.7999999999997</v>
      </c>
      <c r="I74" t="s">
        <v>13</v>
      </c>
    </row>
    <row r="75" spans="1:9" x14ac:dyDescent="0.35">
      <c r="A75" s="2">
        <v>44440</v>
      </c>
      <c r="B75" t="s">
        <v>45</v>
      </c>
      <c r="C75" t="s">
        <v>46</v>
      </c>
      <c r="D75" t="s">
        <v>47</v>
      </c>
      <c r="E75" t="s">
        <v>24</v>
      </c>
      <c r="F75" s="3">
        <v>35640</v>
      </c>
      <c r="G75" s="3">
        <v>15000</v>
      </c>
      <c r="H75" s="3">
        <v>3564</v>
      </c>
      <c r="I75" t="s">
        <v>9</v>
      </c>
    </row>
    <row r="76" spans="1:9" x14ac:dyDescent="0.35">
      <c r="A76" s="2">
        <v>44470</v>
      </c>
      <c r="B76" t="s">
        <v>48</v>
      </c>
      <c r="C76" t="s">
        <v>49</v>
      </c>
      <c r="D76" t="s">
        <v>50</v>
      </c>
      <c r="E76" t="s">
        <v>24</v>
      </c>
      <c r="F76" s="3">
        <v>4201.6000000000004</v>
      </c>
      <c r="G76" s="3">
        <v>15000</v>
      </c>
      <c r="H76" s="3" t="s">
        <v>88</v>
      </c>
      <c r="I76" t="s">
        <v>13</v>
      </c>
    </row>
    <row r="77" spans="1:9" x14ac:dyDescent="0.35">
      <c r="A77" s="2">
        <v>44470</v>
      </c>
      <c r="B77" t="s">
        <v>21</v>
      </c>
      <c r="C77" t="s">
        <v>22</v>
      </c>
      <c r="D77" t="s">
        <v>23</v>
      </c>
      <c r="E77" t="s">
        <v>24</v>
      </c>
      <c r="F77" s="3">
        <v>15262.8</v>
      </c>
      <c r="G77" s="3">
        <v>15000</v>
      </c>
      <c r="H77" s="3">
        <v>1526.28</v>
      </c>
      <c r="I77" t="s">
        <v>41</v>
      </c>
    </row>
    <row r="78" spans="1:9" x14ac:dyDescent="0.35">
      <c r="A78" s="2">
        <v>44470</v>
      </c>
      <c r="B78" t="s">
        <v>54</v>
      </c>
      <c r="C78" t="s">
        <v>55</v>
      </c>
      <c r="D78" t="s">
        <v>56</v>
      </c>
      <c r="E78" t="s">
        <v>24</v>
      </c>
      <c r="F78" s="3">
        <v>20790</v>
      </c>
      <c r="G78" s="3">
        <v>15000</v>
      </c>
      <c r="H78" s="3">
        <v>2079</v>
      </c>
      <c r="I78" t="s">
        <v>13</v>
      </c>
    </row>
    <row r="79" spans="1:9" x14ac:dyDescent="0.35">
      <c r="A79" s="2">
        <v>44470</v>
      </c>
      <c r="B79" t="s">
        <v>48</v>
      </c>
      <c r="C79" t="s">
        <v>49</v>
      </c>
      <c r="D79" t="s">
        <v>50</v>
      </c>
      <c r="E79" t="s">
        <v>24</v>
      </c>
      <c r="F79" s="3">
        <v>21878.5</v>
      </c>
      <c r="G79" s="3">
        <v>15000</v>
      </c>
      <c r="H79" s="3">
        <v>2187.85</v>
      </c>
      <c r="I79" t="s">
        <v>9</v>
      </c>
    </row>
    <row r="80" spans="1:9" x14ac:dyDescent="0.35">
      <c r="A80" s="2">
        <v>44470</v>
      </c>
      <c r="B80" t="s">
        <v>54</v>
      </c>
      <c r="C80" t="s">
        <v>55</v>
      </c>
      <c r="D80" t="s">
        <v>56</v>
      </c>
      <c r="E80" t="s">
        <v>24</v>
      </c>
      <c r="F80" s="3">
        <v>22136.800000000003</v>
      </c>
      <c r="G80" s="3">
        <v>15000</v>
      </c>
      <c r="H80" s="3">
        <v>2213.6800000000003</v>
      </c>
      <c r="I80" t="s">
        <v>9</v>
      </c>
    </row>
    <row r="81" spans="1:9" x14ac:dyDescent="0.35">
      <c r="A81" s="2">
        <v>44470</v>
      </c>
      <c r="B81" t="s">
        <v>54</v>
      </c>
      <c r="C81" t="s">
        <v>55</v>
      </c>
      <c r="D81" t="s">
        <v>56</v>
      </c>
      <c r="E81" t="s">
        <v>24</v>
      </c>
      <c r="F81" s="3">
        <v>23240.400000000001</v>
      </c>
      <c r="G81" s="3">
        <v>15000</v>
      </c>
      <c r="H81" s="3">
        <v>2324.0400000000004</v>
      </c>
      <c r="I81" t="s">
        <v>13</v>
      </c>
    </row>
    <row r="82" spans="1:9" x14ac:dyDescent="0.35">
      <c r="A82" s="2">
        <v>44470</v>
      </c>
      <c r="B82" t="s">
        <v>48</v>
      </c>
      <c r="C82" t="s">
        <v>49</v>
      </c>
      <c r="D82" t="s">
        <v>50</v>
      </c>
      <c r="E82" t="s">
        <v>24</v>
      </c>
      <c r="F82" s="3">
        <v>41989.599999999999</v>
      </c>
      <c r="G82" s="3">
        <v>15000</v>
      </c>
      <c r="H82" s="3">
        <v>4198.96</v>
      </c>
      <c r="I82" t="s">
        <v>9</v>
      </c>
    </row>
    <row r="83" spans="1:9" x14ac:dyDescent="0.35">
      <c r="A83" s="2">
        <v>44501</v>
      </c>
      <c r="B83" t="s">
        <v>32</v>
      </c>
      <c r="C83" t="s">
        <v>33</v>
      </c>
      <c r="D83" t="s">
        <v>34</v>
      </c>
      <c r="E83" t="s">
        <v>24</v>
      </c>
      <c r="F83" s="3">
        <v>9006</v>
      </c>
      <c r="G83" s="3">
        <v>15000</v>
      </c>
      <c r="H83" s="3" t="s">
        <v>88</v>
      </c>
      <c r="I83" t="s">
        <v>41</v>
      </c>
    </row>
    <row r="84" spans="1:9" x14ac:dyDescent="0.35">
      <c r="A84" s="2">
        <v>44501</v>
      </c>
      <c r="B84" t="s">
        <v>48</v>
      </c>
      <c r="C84" t="s">
        <v>49</v>
      </c>
      <c r="D84" t="s">
        <v>50</v>
      </c>
      <c r="E84" t="s">
        <v>24</v>
      </c>
      <c r="F84" s="3">
        <v>10573.5</v>
      </c>
      <c r="G84" s="3">
        <v>15000</v>
      </c>
      <c r="H84" s="3" t="s">
        <v>88</v>
      </c>
      <c r="I84" t="s">
        <v>9</v>
      </c>
    </row>
    <row r="85" spans="1:9" x14ac:dyDescent="0.35">
      <c r="A85" s="2">
        <v>44501</v>
      </c>
      <c r="B85" t="s">
        <v>45</v>
      </c>
      <c r="C85" t="s">
        <v>46</v>
      </c>
      <c r="D85" t="s">
        <v>47</v>
      </c>
      <c r="E85" t="s">
        <v>24</v>
      </c>
      <c r="F85" s="3">
        <v>13230</v>
      </c>
      <c r="G85" s="3">
        <v>15000</v>
      </c>
      <c r="H85" s="3" t="s">
        <v>88</v>
      </c>
      <c r="I85" t="s">
        <v>13</v>
      </c>
    </row>
    <row r="86" spans="1:9" x14ac:dyDescent="0.35">
      <c r="A86" s="2">
        <v>44501</v>
      </c>
      <c r="B86" t="s">
        <v>21</v>
      </c>
      <c r="C86" t="s">
        <v>22</v>
      </c>
      <c r="D86" t="s">
        <v>23</v>
      </c>
      <c r="E86" t="s">
        <v>24</v>
      </c>
      <c r="F86" s="3">
        <v>15403.600000000002</v>
      </c>
      <c r="G86" s="3">
        <v>15000</v>
      </c>
      <c r="H86" s="3">
        <v>1540.3600000000004</v>
      </c>
      <c r="I86" t="s">
        <v>13</v>
      </c>
    </row>
    <row r="87" spans="1:9" x14ac:dyDescent="0.35">
      <c r="A87" s="2">
        <v>44501</v>
      </c>
      <c r="B87" t="s">
        <v>32</v>
      </c>
      <c r="C87" t="s">
        <v>33</v>
      </c>
      <c r="D87" t="s">
        <v>34</v>
      </c>
      <c r="E87" t="s">
        <v>24</v>
      </c>
      <c r="F87" s="3">
        <v>16394.399999999998</v>
      </c>
      <c r="G87" s="3">
        <v>15000</v>
      </c>
      <c r="H87" s="3">
        <v>1639.4399999999998</v>
      </c>
      <c r="I87" t="s">
        <v>13</v>
      </c>
    </row>
    <row r="88" spans="1:9" x14ac:dyDescent="0.35">
      <c r="A88" s="2">
        <v>44501</v>
      </c>
      <c r="B88" t="s">
        <v>32</v>
      </c>
      <c r="C88" t="s">
        <v>33</v>
      </c>
      <c r="D88" t="s">
        <v>34</v>
      </c>
      <c r="E88" t="s">
        <v>24</v>
      </c>
      <c r="F88" s="3">
        <v>16606</v>
      </c>
      <c r="G88" s="3">
        <v>15000</v>
      </c>
      <c r="H88" s="3">
        <v>1660.6000000000001</v>
      </c>
      <c r="I88" t="s">
        <v>41</v>
      </c>
    </row>
    <row r="89" spans="1:9" x14ac:dyDescent="0.35">
      <c r="A89" s="2">
        <v>44501</v>
      </c>
      <c r="B89" t="s">
        <v>21</v>
      </c>
      <c r="C89" t="s">
        <v>22</v>
      </c>
      <c r="D89" t="s">
        <v>23</v>
      </c>
      <c r="E89" t="s">
        <v>24</v>
      </c>
      <c r="F89" s="3">
        <v>18452.599999999999</v>
      </c>
      <c r="G89" s="3">
        <v>15000</v>
      </c>
      <c r="H89" s="3">
        <v>1845.26</v>
      </c>
      <c r="I89" t="s">
        <v>41</v>
      </c>
    </row>
    <row r="90" spans="1:9" x14ac:dyDescent="0.35">
      <c r="A90" s="2">
        <v>44501</v>
      </c>
      <c r="B90" t="s">
        <v>48</v>
      </c>
      <c r="C90" t="s">
        <v>49</v>
      </c>
      <c r="D90" t="s">
        <v>50</v>
      </c>
      <c r="E90" t="s">
        <v>24</v>
      </c>
      <c r="F90" s="3">
        <v>20062.5</v>
      </c>
      <c r="G90" s="3">
        <v>15000</v>
      </c>
      <c r="H90" s="3">
        <v>2006.25</v>
      </c>
      <c r="I90" t="s">
        <v>9</v>
      </c>
    </row>
    <row r="91" spans="1:9" x14ac:dyDescent="0.35">
      <c r="A91" s="2">
        <v>44501</v>
      </c>
      <c r="B91" t="s">
        <v>54</v>
      </c>
      <c r="C91" t="s">
        <v>55</v>
      </c>
      <c r="D91" t="s">
        <v>56</v>
      </c>
      <c r="E91" t="s">
        <v>24</v>
      </c>
      <c r="F91" s="3">
        <v>22900.499999999996</v>
      </c>
      <c r="G91" s="3">
        <v>15000</v>
      </c>
      <c r="H91" s="3">
        <v>2290.0499999999997</v>
      </c>
      <c r="I91" t="s">
        <v>9</v>
      </c>
    </row>
    <row r="92" spans="1:9" x14ac:dyDescent="0.35">
      <c r="A92" s="2">
        <v>44501</v>
      </c>
      <c r="B92" t="s">
        <v>54</v>
      </c>
      <c r="C92" t="s">
        <v>55</v>
      </c>
      <c r="D92" t="s">
        <v>56</v>
      </c>
      <c r="E92" t="s">
        <v>24</v>
      </c>
      <c r="F92" s="3">
        <v>23057.999999999996</v>
      </c>
      <c r="G92" s="3">
        <v>15000</v>
      </c>
      <c r="H92" s="3">
        <v>2305.7999999999997</v>
      </c>
      <c r="I92" t="s">
        <v>41</v>
      </c>
    </row>
    <row r="93" spans="1:9" x14ac:dyDescent="0.35">
      <c r="A93" s="2">
        <v>44501</v>
      </c>
      <c r="B93" t="s">
        <v>32</v>
      </c>
      <c r="C93" t="s">
        <v>33</v>
      </c>
      <c r="D93" t="s">
        <v>34</v>
      </c>
      <c r="E93" t="s">
        <v>24</v>
      </c>
      <c r="F93" s="3">
        <v>37560</v>
      </c>
      <c r="G93" s="3">
        <v>15000</v>
      </c>
      <c r="H93" s="3">
        <v>3756</v>
      </c>
      <c r="I93" t="s">
        <v>41</v>
      </c>
    </row>
    <row r="94" spans="1:9" x14ac:dyDescent="0.35">
      <c r="A94" s="2">
        <v>44501</v>
      </c>
      <c r="B94" t="s">
        <v>48</v>
      </c>
      <c r="C94" t="s">
        <v>49</v>
      </c>
      <c r="D94" t="s">
        <v>50</v>
      </c>
      <c r="E94" t="s">
        <v>24</v>
      </c>
      <c r="F94" s="3">
        <v>38570</v>
      </c>
      <c r="G94" s="3">
        <v>15000</v>
      </c>
      <c r="H94" s="3">
        <v>3857</v>
      </c>
      <c r="I94" t="s">
        <v>9</v>
      </c>
    </row>
    <row r="95" spans="1:9" x14ac:dyDescent="0.35">
      <c r="A95" s="2">
        <v>44501</v>
      </c>
      <c r="B95" t="s">
        <v>21</v>
      </c>
      <c r="C95" t="s">
        <v>22</v>
      </c>
      <c r="D95" t="s">
        <v>23</v>
      </c>
      <c r="E95" t="s">
        <v>24</v>
      </c>
      <c r="F95" s="3">
        <v>39199.599999999999</v>
      </c>
      <c r="G95" s="3">
        <v>15000</v>
      </c>
      <c r="H95" s="3">
        <v>3919.96</v>
      </c>
      <c r="I95" t="s">
        <v>41</v>
      </c>
    </row>
    <row r="96" spans="1:9" x14ac:dyDescent="0.35">
      <c r="A96" s="2">
        <v>44531</v>
      </c>
      <c r="B96" t="s">
        <v>32</v>
      </c>
      <c r="C96" t="s">
        <v>33</v>
      </c>
      <c r="D96" t="s">
        <v>34</v>
      </c>
      <c r="E96" t="s">
        <v>24</v>
      </c>
      <c r="F96" s="3">
        <v>8082.7999999999993</v>
      </c>
      <c r="G96" s="3">
        <v>15000</v>
      </c>
      <c r="H96" s="3" t="s">
        <v>88</v>
      </c>
      <c r="I96" t="s">
        <v>9</v>
      </c>
    </row>
    <row r="97" spans="1:9" x14ac:dyDescent="0.35">
      <c r="A97" s="2">
        <v>44531</v>
      </c>
      <c r="B97" t="s">
        <v>48</v>
      </c>
      <c r="C97" t="s">
        <v>49</v>
      </c>
      <c r="D97" t="s">
        <v>50</v>
      </c>
      <c r="E97" t="s">
        <v>24</v>
      </c>
      <c r="F97" s="3">
        <v>9826.4</v>
      </c>
      <c r="G97" s="3">
        <v>15000</v>
      </c>
      <c r="H97" s="3" t="s">
        <v>88</v>
      </c>
      <c r="I97" t="s">
        <v>41</v>
      </c>
    </row>
    <row r="98" spans="1:9" x14ac:dyDescent="0.35">
      <c r="A98" s="2">
        <v>44531</v>
      </c>
      <c r="B98" t="s">
        <v>54</v>
      </c>
      <c r="C98" t="s">
        <v>55</v>
      </c>
      <c r="D98" t="s">
        <v>56</v>
      </c>
      <c r="E98" t="s">
        <v>24</v>
      </c>
      <c r="F98" s="3">
        <v>12328</v>
      </c>
      <c r="G98" s="3">
        <v>15000</v>
      </c>
      <c r="H98" s="3" t="s">
        <v>88</v>
      </c>
      <c r="I98" t="s">
        <v>13</v>
      </c>
    </row>
    <row r="99" spans="1:9" x14ac:dyDescent="0.35">
      <c r="A99" s="2">
        <v>44531</v>
      </c>
      <c r="B99" t="s">
        <v>32</v>
      </c>
      <c r="C99" t="s">
        <v>33</v>
      </c>
      <c r="D99" t="s">
        <v>34</v>
      </c>
      <c r="E99" t="s">
        <v>24</v>
      </c>
      <c r="F99" s="3">
        <v>24544</v>
      </c>
      <c r="G99" s="3">
        <v>15000</v>
      </c>
      <c r="H99" s="3">
        <v>2454.4</v>
      </c>
      <c r="I99" t="s">
        <v>13</v>
      </c>
    </row>
    <row r="100" spans="1:9" x14ac:dyDescent="0.35">
      <c r="A100" s="2">
        <v>44531</v>
      </c>
      <c r="B100" t="s">
        <v>21</v>
      </c>
      <c r="C100" t="s">
        <v>22</v>
      </c>
      <c r="D100" t="s">
        <v>23</v>
      </c>
      <c r="E100" t="s">
        <v>24</v>
      </c>
      <c r="F100" s="3">
        <v>27350.400000000001</v>
      </c>
      <c r="G100" s="3">
        <v>15000</v>
      </c>
      <c r="H100" s="3">
        <v>2735.0400000000004</v>
      </c>
      <c r="I100" t="s">
        <v>41</v>
      </c>
    </row>
    <row r="101" spans="1:9" x14ac:dyDescent="0.35">
      <c r="A101" s="2">
        <v>44531</v>
      </c>
      <c r="B101" t="s">
        <v>45</v>
      </c>
      <c r="C101" t="s">
        <v>46</v>
      </c>
      <c r="D101" t="s">
        <v>47</v>
      </c>
      <c r="E101" t="s">
        <v>24</v>
      </c>
      <c r="F101" s="3">
        <v>28845</v>
      </c>
      <c r="G101" s="3">
        <v>15000</v>
      </c>
      <c r="H101" s="3">
        <v>2884.5</v>
      </c>
      <c r="I101" t="s">
        <v>13</v>
      </c>
    </row>
    <row r="102" spans="1:9" x14ac:dyDescent="0.35">
      <c r="A102" s="2">
        <v>44531</v>
      </c>
      <c r="B102" t="s">
        <v>21</v>
      </c>
      <c r="C102" t="s">
        <v>22</v>
      </c>
      <c r="D102" t="s">
        <v>23</v>
      </c>
      <c r="E102" t="s">
        <v>24</v>
      </c>
      <c r="F102" s="3">
        <v>43593.599999999999</v>
      </c>
      <c r="G102" s="3">
        <v>15000</v>
      </c>
      <c r="H102" s="3">
        <v>4359.3599999999997</v>
      </c>
      <c r="I102" t="s">
        <v>13</v>
      </c>
    </row>
  </sheetData>
  <autoFilter ref="A3:I3" xr:uid="{B49E8FE3-7C47-4295-B951-FF06FFAED015}"/>
  <conditionalFormatting sqref="F1:F1048576">
    <cfRule type="top10" dxfId="4" priority="1" rank="5"/>
  </conditionalFormatting>
  <hyperlinks>
    <hyperlink ref="S1" location="'Cover Page'!A1" display="'back to Cover Page" xr:uid="{284E865D-C804-4B42-AFD8-8EFC45575A4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F699-711F-443D-8247-8B7A268AF7F9}">
  <dimension ref="A1:Q99"/>
  <sheetViews>
    <sheetView topLeftCell="H1" workbookViewId="0">
      <selection activeCell="Q2" sqref="Q2"/>
    </sheetView>
  </sheetViews>
  <sheetFormatPr defaultRowHeight="14.5" x14ac:dyDescent="0.35"/>
  <cols>
    <col min="1" max="1" width="12.1796875" customWidth="1"/>
    <col min="2" max="2" width="14.54296875" hidden="1" customWidth="1"/>
    <col min="3" max="3" width="14.81640625" hidden="1" customWidth="1"/>
    <col min="4" max="4" width="15.54296875" customWidth="1"/>
    <col min="5" max="5" width="18.54296875" customWidth="1"/>
    <col min="6" max="6" width="18.1796875" customWidth="1"/>
    <col min="7" max="7" width="19.453125" customWidth="1"/>
    <col min="8" max="8" width="22.54296875" customWidth="1"/>
    <col min="9" max="9" width="25.81640625" customWidth="1"/>
    <col min="11" max="15" width="14.7265625" bestFit="1" customWidth="1"/>
    <col min="17" max="17" width="17.81640625" customWidth="1"/>
  </cols>
  <sheetData>
    <row r="1" spans="1:17" ht="23.5" x14ac:dyDescent="0.5">
      <c r="A1" s="14"/>
      <c r="B1" s="14"/>
      <c r="C1" s="14"/>
      <c r="D1" s="14" t="s">
        <v>90</v>
      </c>
      <c r="E1" s="14"/>
      <c r="F1" s="11"/>
      <c r="G1" s="11"/>
      <c r="H1" s="11"/>
      <c r="I1" s="11"/>
      <c r="K1" s="9" t="s">
        <v>15</v>
      </c>
      <c r="L1" s="9" t="s">
        <v>67</v>
      </c>
      <c r="M1" s="9" t="s">
        <v>6</v>
      </c>
      <c r="N1" s="9" t="s">
        <v>11</v>
      </c>
      <c r="O1" s="9" t="s">
        <v>26</v>
      </c>
      <c r="Q1" s="34" t="s">
        <v>133</v>
      </c>
    </row>
    <row r="2" spans="1:17" x14ac:dyDescent="0.35">
      <c r="K2" s="19">
        <f>SUMIF(C4:C99,K1, F4:F99)</f>
        <v>526806.6</v>
      </c>
      <c r="L2" s="19">
        <f>SUMIF(C4:C99,L1, F4:F99)</f>
        <v>227895.80000000002</v>
      </c>
      <c r="M2" s="19">
        <f>SUMIF(C4:C99,M1, F4:F99)</f>
        <v>368364.79999999999</v>
      </c>
      <c r="N2" s="19">
        <f>SUMIF(C4:C99,N1, F4:F99)</f>
        <v>371911.9</v>
      </c>
      <c r="O2" s="19">
        <f>SUMIF(C4:C99,O1, F4:F99)</f>
        <v>310854.5</v>
      </c>
    </row>
    <row r="3" spans="1:17" ht="45.75" customHeight="1" thickBot="1" x14ac:dyDescent="0.4">
      <c r="A3" s="10" t="s">
        <v>0</v>
      </c>
      <c r="B3" s="10" t="s">
        <v>1</v>
      </c>
      <c r="C3" s="10" t="s">
        <v>2</v>
      </c>
      <c r="D3" s="10" t="s">
        <v>3</v>
      </c>
      <c r="E3" s="10" t="s">
        <v>98</v>
      </c>
      <c r="F3" s="10" t="s">
        <v>4</v>
      </c>
      <c r="G3" s="10" t="s">
        <v>85</v>
      </c>
      <c r="H3" s="10" t="s">
        <v>86</v>
      </c>
      <c r="I3" s="12" t="s">
        <v>92</v>
      </c>
      <c r="J3" s="16"/>
      <c r="K3" s="16"/>
      <c r="L3" s="15"/>
    </row>
    <row r="4" spans="1:17" ht="15" thickTop="1" x14ac:dyDescent="0.35">
      <c r="A4" s="2">
        <v>44197</v>
      </c>
      <c r="B4" t="s">
        <v>14</v>
      </c>
      <c r="C4" t="s">
        <v>15</v>
      </c>
      <c r="D4" t="s">
        <v>16</v>
      </c>
      <c r="E4" t="s">
        <v>8</v>
      </c>
      <c r="F4" s="3">
        <v>2954.7</v>
      </c>
      <c r="G4" s="3">
        <v>15000</v>
      </c>
      <c r="H4" s="3" t="s">
        <v>88</v>
      </c>
      <c r="I4" t="s">
        <v>13</v>
      </c>
    </row>
    <row r="5" spans="1:17" x14ac:dyDescent="0.35">
      <c r="A5" s="2">
        <v>44197</v>
      </c>
      <c r="B5" t="s">
        <v>66</v>
      </c>
      <c r="C5" t="s">
        <v>67</v>
      </c>
      <c r="D5" t="s">
        <v>68</v>
      </c>
      <c r="E5" t="s">
        <v>8</v>
      </c>
      <c r="F5" s="3">
        <v>6796.7999999999993</v>
      </c>
      <c r="G5" s="3">
        <v>15000</v>
      </c>
      <c r="H5" s="3" t="s">
        <v>88</v>
      </c>
      <c r="I5" t="s">
        <v>9</v>
      </c>
    </row>
    <row r="6" spans="1:17" x14ac:dyDescent="0.35">
      <c r="A6" s="2">
        <v>44197</v>
      </c>
      <c r="B6" t="s">
        <v>66</v>
      </c>
      <c r="C6" t="s">
        <v>67</v>
      </c>
      <c r="D6" t="s">
        <v>68</v>
      </c>
      <c r="E6" t="s">
        <v>8</v>
      </c>
      <c r="F6" s="3">
        <v>8188</v>
      </c>
      <c r="G6" s="3">
        <v>15000</v>
      </c>
      <c r="H6" s="3" t="s">
        <v>88</v>
      </c>
      <c r="I6" t="s">
        <v>41</v>
      </c>
    </row>
    <row r="7" spans="1:17" x14ac:dyDescent="0.35">
      <c r="A7" s="2">
        <v>44197</v>
      </c>
      <c r="B7" t="s">
        <v>14</v>
      </c>
      <c r="C7" t="s">
        <v>15</v>
      </c>
      <c r="D7" t="s">
        <v>16</v>
      </c>
      <c r="E7" t="s">
        <v>8</v>
      </c>
      <c r="F7" s="3">
        <v>9058.4</v>
      </c>
      <c r="G7" s="3">
        <v>15000</v>
      </c>
      <c r="H7" s="3" t="s">
        <v>88</v>
      </c>
      <c r="I7" t="s">
        <v>9</v>
      </c>
    </row>
    <row r="8" spans="1:17" x14ac:dyDescent="0.35">
      <c r="A8" s="2">
        <v>44197</v>
      </c>
      <c r="B8" t="s">
        <v>66</v>
      </c>
      <c r="C8" t="s">
        <v>67</v>
      </c>
      <c r="D8" t="s">
        <v>68</v>
      </c>
      <c r="E8" t="s">
        <v>8</v>
      </c>
      <c r="F8" s="3">
        <v>12096</v>
      </c>
      <c r="G8" s="3">
        <v>15000</v>
      </c>
      <c r="H8" s="3" t="s">
        <v>88</v>
      </c>
      <c r="I8" t="s">
        <v>41</v>
      </c>
    </row>
    <row r="9" spans="1:17" x14ac:dyDescent="0.35">
      <c r="A9" s="2">
        <v>44197</v>
      </c>
      <c r="B9" t="s">
        <v>5</v>
      </c>
      <c r="C9" t="s">
        <v>6</v>
      </c>
      <c r="D9" t="s">
        <v>7</v>
      </c>
      <c r="E9" t="s">
        <v>8</v>
      </c>
      <c r="F9" s="3">
        <v>15029</v>
      </c>
      <c r="G9" s="3">
        <v>15000</v>
      </c>
      <c r="H9" s="3">
        <v>1502.9</v>
      </c>
      <c r="I9" t="s">
        <v>13</v>
      </c>
    </row>
    <row r="10" spans="1:17" x14ac:dyDescent="0.35">
      <c r="A10" s="2">
        <v>44197</v>
      </c>
      <c r="B10" t="s">
        <v>5</v>
      </c>
      <c r="C10" t="s">
        <v>6</v>
      </c>
      <c r="D10" t="s">
        <v>7</v>
      </c>
      <c r="E10" t="s">
        <v>8</v>
      </c>
      <c r="F10" s="3">
        <v>15264</v>
      </c>
      <c r="G10" s="3">
        <v>15000</v>
      </c>
      <c r="H10" s="3">
        <v>1526.4</v>
      </c>
      <c r="I10" t="s">
        <v>13</v>
      </c>
    </row>
    <row r="11" spans="1:17" x14ac:dyDescent="0.35">
      <c r="A11" s="2">
        <v>44197</v>
      </c>
      <c r="B11" t="s">
        <v>5</v>
      </c>
      <c r="C11" t="s">
        <v>6</v>
      </c>
      <c r="D11" t="s">
        <v>7</v>
      </c>
      <c r="E11" t="s">
        <v>8</v>
      </c>
      <c r="F11" s="3">
        <v>17353.599999999999</v>
      </c>
      <c r="G11" s="3">
        <v>15000</v>
      </c>
      <c r="H11" s="3">
        <v>1735.36</v>
      </c>
      <c r="I11" t="s">
        <v>9</v>
      </c>
    </row>
    <row r="12" spans="1:17" x14ac:dyDescent="0.35">
      <c r="A12" s="2">
        <v>44197</v>
      </c>
      <c r="B12" t="s">
        <v>10</v>
      </c>
      <c r="C12" t="s">
        <v>11</v>
      </c>
      <c r="D12" t="s">
        <v>12</v>
      </c>
      <c r="E12" t="s">
        <v>8</v>
      </c>
      <c r="F12" s="3">
        <v>20140</v>
      </c>
      <c r="G12" s="3">
        <v>15000</v>
      </c>
      <c r="H12" s="3">
        <v>2014</v>
      </c>
      <c r="I12" t="s">
        <v>41</v>
      </c>
    </row>
    <row r="13" spans="1:17" x14ac:dyDescent="0.35">
      <c r="A13" s="2">
        <v>44197</v>
      </c>
      <c r="B13" t="s">
        <v>10</v>
      </c>
      <c r="C13" t="s">
        <v>11</v>
      </c>
      <c r="D13" t="s">
        <v>12</v>
      </c>
      <c r="E13" t="s">
        <v>8</v>
      </c>
      <c r="F13" s="3">
        <v>35649</v>
      </c>
      <c r="G13" s="3">
        <v>15000</v>
      </c>
      <c r="H13" s="3">
        <v>3564.9</v>
      </c>
      <c r="I13" t="s">
        <v>9</v>
      </c>
    </row>
    <row r="14" spans="1:17" x14ac:dyDescent="0.35">
      <c r="A14" s="2">
        <v>44228</v>
      </c>
      <c r="B14" t="s">
        <v>25</v>
      </c>
      <c r="C14" t="s">
        <v>26</v>
      </c>
      <c r="D14" t="s">
        <v>27</v>
      </c>
      <c r="E14" t="s">
        <v>8</v>
      </c>
      <c r="F14" s="3">
        <v>7717.5</v>
      </c>
      <c r="G14" s="3">
        <v>15000</v>
      </c>
      <c r="H14" s="3" t="s">
        <v>88</v>
      </c>
      <c r="I14" t="s">
        <v>41</v>
      </c>
    </row>
    <row r="15" spans="1:17" x14ac:dyDescent="0.35">
      <c r="A15" s="2">
        <v>44228</v>
      </c>
      <c r="B15" t="s">
        <v>25</v>
      </c>
      <c r="C15" t="s">
        <v>26</v>
      </c>
      <c r="D15" t="s">
        <v>27</v>
      </c>
      <c r="E15" t="s">
        <v>8</v>
      </c>
      <c r="F15" s="3">
        <v>11617.6</v>
      </c>
      <c r="G15" s="3">
        <v>15000</v>
      </c>
      <c r="H15" s="3" t="s">
        <v>88</v>
      </c>
      <c r="I15" t="s">
        <v>13</v>
      </c>
    </row>
    <row r="16" spans="1:17" x14ac:dyDescent="0.35">
      <c r="A16" s="2">
        <v>44228</v>
      </c>
      <c r="B16" t="s">
        <v>10</v>
      </c>
      <c r="C16" t="s">
        <v>11</v>
      </c>
      <c r="D16" t="s">
        <v>12</v>
      </c>
      <c r="E16" t="s">
        <v>8</v>
      </c>
      <c r="F16" s="3">
        <v>19431</v>
      </c>
      <c r="G16" s="3">
        <v>15000</v>
      </c>
      <c r="H16" s="3">
        <v>1943.1000000000001</v>
      </c>
      <c r="I16" t="s">
        <v>13</v>
      </c>
    </row>
    <row r="17" spans="1:9" x14ac:dyDescent="0.35">
      <c r="A17" s="2">
        <v>44228</v>
      </c>
      <c r="B17" t="s">
        <v>5</v>
      </c>
      <c r="C17" t="s">
        <v>6</v>
      </c>
      <c r="D17" t="s">
        <v>7</v>
      </c>
      <c r="E17" t="s">
        <v>8</v>
      </c>
      <c r="F17" s="3">
        <v>21169.599999999999</v>
      </c>
      <c r="G17" s="3">
        <v>15000</v>
      </c>
      <c r="H17" s="3">
        <v>2116.96</v>
      </c>
      <c r="I17" t="s">
        <v>13</v>
      </c>
    </row>
    <row r="18" spans="1:9" x14ac:dyDescent="0.35">
      <c r="A18" s="2">
        <v>44228</v>
      </c>
      <c r="B18" t="s">
        <v>14</v>
      </c>
      <c r="C18" t="s">
        <v>15</v>
      </c>
      <c r="D18" t="s">
        <v>16</v>
      </c>
      <c r="E18" t="s">
        <v>8</v>
      </c>
      <c r="F18" s="3">
        <v>29158.400000000001</v>
      </c>
      <c r="G18" s="3">
        <v>15000</v>
      </c>
      <c r="H18" s="3">
        <v>2915.84</v>
      </c>
      <c r="I18" t="s">
        <v>13</v>
      </c>
    </row>
    <row r="19" spans="1:9" x14ac:dyDescent="0.35">
      <c r="A19" s="2">
        <v>44228</v>
      </c>
      <c r="B19" t="s">
        <v>10</v>
      </c>
      <c r="C19" t="s">
        <v>11</v>
      </c>
      <c r="D19" t="s">
        <v>12</v>
      </c>
      <c r="E19" t="s">
        <v>8</v>
      </c>
      <c r="F19" s="3">
        <v>30305</v>
      </c>
      <c r="G19" s="3">
        <v>15000</v>
      </c>
      <c r="H19" s="3">
        <v>3030.5</v>
      </c>
      <c r="I19" t="s">
        <v>9</v>
      </c>
    </row>
    <row r="20" spans="1:9" x14ac:dyDescent="0.35">
      <c r="A20" s="2">
        <v>44228</v>
      </c>
      <c r="B20" t="s">
        <v>25</v>
      </c>
      <c r="C20" t="s">
        <v>26</v>
      </c>
      <c r="D20" t="s">
        <v>27</v>
      </c>
      <c r="E20" t="s">
        <v>8</v>
      </c>
      <c r="F20" s="3">
        <v>43184.399999999994</v>
      </c>
      <c r="G20" s="3">
        <v>15000</v>
      </c>
      <c r="H20" s="3">
        <v>4318.4399999999996</v>
      </c>
      <c r="I20" t="s">
        <v>41</v>
      </c>
    </row>
    <row r="21" spans="1:9" x14ac:dyDescent="0.35">
      <c r="A21" s="2">
        <v>44256</v>
      </c>
      <c r="B21" t="s">
        <v>10</v>
      </c>
      <c r="C21" t="s">
        <v>11</v>
      </c>
      <c r="D21" t="s">
        <v>12</v>
      </c>
      <c r="E21" t="s">
        <v>8</v>
      </c>
      <c r="F21" s="3">
        <v>2311.5</v>
      </c>
      <c r="G21" s="3">
        <v>15000</v>
      </c>
      <c r="H21" s="3" t="s">
        <v>88</v>
      </c>
      <c r="I21" t="s">
        <v>13</v>
      </c>
    </row>
    <row r="22" spans="1:9" x14ac:dyDescent="0.35">
      <c r="A22" s="2">
        <v>44256</v>
      </c>
      <c r="B22" t="s">
        <v>25</v>
      </c>
      <c r="C22" t="s">
        <v>26</v>
      </c>
      <c r="D22" t="s">
        <v>27</v>
      </c>
      <c r="E22" t="s">
        <v>8</v>
      </c>
      <c r="F22" s="3">
        <v>3013.5</v>
      </c>
      <c r="G22" s="3">
        <v>15000</v>
      </c>
      <c r="H22" s="3" t="s">
        <v>88</v>
      </c>
      <c r="I22" t="s">
        <v>13</v>
      </c>
    </row>
    <row r="23" spans="1:9" x14ac:dyDescent="0.35">
      <c r="A23" s="2">
        <v>44256</v>
      </c>
      <c r="B23" t="s">
        <v>25</v>
      </c>
      <c r="C23" t="s">
        <v>26</v>
      </c>
      <c r="D23" t="s">
        <v>27</v>
      </c>
      <c r="E23" t="s">
        <v>8</v>
      </c>
      <c r="F23" s="3">
        <v>5287.5</v>
      </c>
      <c r="G23" s="3">
        <v>15000</v>
      </c>
      <c r="H23" s="3" t="s">
        <v>88</v>
      </c>
      <c r="I23" t="s">
        <v>13</v>
      </c>
    </row>
    <row r="24" spans="1:9" x14ac:dyDescent="0.35">
      <c r="A24" s="2">
        <v>44256</v>
      </c>
      <c r="B24" t="s">
        <v>14</v>
      </c>
      <c r="C24" t="s">
        <v>15</v>
      </c>
      <c r="D24" t="s">
        <v>16</v>
      </c>
      <c r="E24" t="s">
        <v>8</v>
      </c>
      <c r="F24" s="3">
        <v>13797</v>
      </c>
      <c r="G24" s="3">
        <v>15000</v>
      </c>
      <c r="H24" s="3" t="s">
        <v>88</v>
      </c>
      <c r="I24" t="s">
        <v>9</v>
      </c>
    </row>
    <row r="25" spans="1:9" x14ac:dyDescent="0.35">
      <c r="A25" s="2">
        <v>44256</v>
      </c>
      <c r="B25" t="s">
        <v>66</v>
      </c>
      <c r="C25" t="s">
        <v>67</v>
      </c>
      <c r="D25" t="s">
        <v>68</v>
      </c>
      <c r="E25" t="s">
        <v>8</v>
      </c>
      <c r="F25" s="3">
        <v>14063</v>
      </c>
      <c r="G25" s="3">
        <v>15000</v>
      </c>
      <c r="H25" s="3" t="s">
        <v>88</v>
      </c>
      <c r="I25" t="s">
        <v>13</v>
      </c>
    </row>
    <row r="26" spans="1:9" x14ac:dyDescent="0.35">
      <c r="A26" s="2">
        <v>44256</v>
      </c>
      <c r="B26" t="s">
        <v>14</v>
      </c>
      <c r="C26" t="s">
        <v>15</v>
      </c>
      <c r="D26" t="s">
        <v>16</v>
      </c>
      <c r="E26" t="s">
        <v>8</v>
      </c>
      <c r="F26" s="3">
        <v>14608.300000000001</v>
      </c>
      <c r="G26" s="3">
        <v>15000</v>
      </c>
      <c r="H26" s="3" t="s">
        <v>88</v>
      </c>
      <c r="I26" t="s">
        <v>9</v>
      </c>
    </row>
    <row r="27" spans="1:9" x14ac:dyDescent="0.35">
      <c r="A27" s="2">
        <v>44256</v>
      </c>
      <c r="B27" t="s">
        <v>25</v>
      </c>
      <c r="C27" t="s">
        <v>26</v>
      </c>
      <c r="D27" t="s">
        <v>27</v>
      </c>
      <c r="E27" t="s">
        <v>8</v>
      </c>
      <c r="F27" s="3">
        <v>16063.199999999999</v>
      </c>
      <c r="G27" s="3">
        <v>15000</v>
      </c>
      <c r="H27" s="3">
        <v>1606.32</v>
      </c>
      <c r="I27" t="s">
        <v>13</v>
      </c>
    </row>
    <row r="28" spans="1:9" x14ac:dyDescent="0.35">
      <c r="A28" s="2">
        <v>44256</v>
      </c>
      <c r="B28" t="s">
        <v>10</v>
      </c>
      <c r="C28" t="s">
        <v>11</v>
      </c>
      <c r="D28" t="s">
        <v>12</v>
      </c>
      <c r="E28" t="s">
        <v>8</v>
      </c>
      <c r="F28" s="3">
        <v>16836</v>
      </c>
      <c r="G28" s="3">
        <v>15000</v>
      </c>
      <c r="H28" s="3">
        <v>1683.6000000000001</v>
      </c>
      <c r="I28" t="s">
        <v>9</v>
      </c>
    </row>
    <row r="29" spans="1:9" x14ac:dyDescent="0.35">
      <c r="A29" s="2">
        <v>44256</v>
      </c>
      <c r="B29" t="s">
        <v>25</v>
      </c>
      <c r="C29" t="s">
        <v>26</v>
      </c>
      <c r="D29" t="s">
        <v>27</v>
      </c>
      <c r="E29" t="s">
        <v>8</v>
      </c>
      <c r="F29" s="3">
        <v>19594</v>
      </c>
      <c r="G29" s="3">
        <v>15000</v>
      </c>
      <c r="H29" s="3">
        <v>1959.4</v>
      </c>
      <c r="I29" t="s">
        <v>41</v>
      </c>
    </row>
    <row r="30" spans="1:9" x14ac:dyDescent="0.35">
      <c r="A30" s="2">
        <v>44256</v>
      </c>
      <c r="B30" t="s">
        <v>10</v>
      </c>
      <c r="C30" t="s">
        <v>11</v>
      </c>
      <c r="D30" t="s">
        <v>12</v>
      </c>
      <c r="E30" t="s">
        <v>8</v>
      </c>
      <c r="F30" s="3">
        <v>21654.400000000001</v>
      </c>
      <c r="G30" s="3">
        <v>15000</v>
      </c>
      <c r="H30" s="3">
        <v>2165.44</v>
      </c>
      <c r="I30" t="s">
        <v>13</v>
      </c>
    </row>
    <row r="31" spans="1:9" x14ac:dyDescent="0.35">
      <c r="A31" s="2">
        <v>44256</v>
      </c>
      <c r="B31" t="s">
        <v>66</v>
      </c>
      <c r="C31" t="s">
        <v>67</v>
      </c>
      <c r="D31" t="s">
        <v>68</v>
      </c>
      <c r="E31" t="s">
        <v>8</v>
      </c>
      <c r="F31" s="3">
        <v>27930</v>
      </c>
      <c r="G31" s="3">
        <v>15000</v>
      </c>
      <c r="H31" s="3">
        <v>2793</v>
      </c>
      <c r="I31" t="s">
        <v>9</v>
      </c>
    </row>
    <row r="32" spans="1:9" x14ac:dyDescent="0.35">
      <c r="A32" s="2">
        <v>44256</v>
      </c>
      <c r="B32" t="s">
        <v>5</v>
      </c>
      <c r="C32" t="s">
        <v>6</v>
      </c>
      <c r="D32" t="s">
        <v>7</v>
      </c>
      <c r="E32" t="s">
        <v>8</v>
      </c>
      <c r="F32" s="3">
        <v>39065.899999999994</v>
      </c>
      <c r="G32" s="3">
        <v>15000</v>
      </c>
      <c r="H32" s="3">
        <v>3906.5899999999997</v>
      </c>
      <c r="I32" t="s">
        <v>13</v>
      </c>
    </row>
    <row r="33" spans="1:9" x14ac:dyDescent="0.35">
      <c r="A33" s="2">
        <v>44256</v>
      </c>
      <c r="B33" t="s">
        <v>25</v>
      </c>
      <c r="C33" t="s">
        <v>26</v>
      </c>
      <c r="D33" t="s">
        <v>27</v>
      </c>
      <c r="E33" t="s">
        <v>8</v>
      </c>
      <c r="F33" s="3">
        <v>44422</v>
      </c>
      <c r="G33" s="3">
        <v>15000</v>
      </c>
      <c r="H33" s="3">
        <v>4442.2</v>
      </c>
      <c r="I33" t="s">
        <v>41</v>
      </c>
    </row>
    <row r="34" spans="1:9" x14ac:dyDescent="0.35">
      <c r="A34" s="2">
        <v>44287</v>
      </c>
      <c r="B34" t="s">
        <v>66</v>
      </c>
      <c r="C34" t="s">
        <v>67</v>
      </c>
      <c r="D34" t="s">
        <v>68</v>
      </c>
      <c r="E34" t="s">
        <v>8</v>
      </c>
      <c r="F34" s="3">
        <v>7029.9</v>
      </c>
      <c r="G34" s="3">
        <v>15000</v>
      </c>
      <c r="H34" s="3" t="s">
        <v>88</v>
      </c>
      <c r="I34" t="s">
        <v>41</v>
      </c>
    </row>
    <row r="35" spans="1:9" x14ac:dyDescent="0.35">
      <c r="A35" s="2">
        <v>44287</v>
      </c>
      <c r="B35" t="s">
        <v>66</v>
      </c>
      <c r="C35" t="s">
        <v>67</v>
      </c>
      <c r="D35" t="s">
        <v>68</v>
      </c>
      <c r="E35" t="s">
        <v>8</v>
      </c>
      <c r="F35" s="3">
        <v>11914.400000000001</v>
      </c>
      <c r="G35" s="3">
        <v>15000</v>
      </c>
      <c r="H35" s="3" t="s">
        <v>88</v>
      </c>
      <c r="I35" t="s">
        <v>13</v>
      </c>
    </row>
    <row r="36" spans="1:9" x14ac:dyDescent="0.35">
      <c r="A36" s="2">
        <v>44287</v>
      </c>
      <c r="B36" t="s">
        <v>5</v>
      </c>
      <c r="C36" t="s">
        <v>6</v>
      </c>
      <c r="D36" t="s">
        <v>7</v>
      </c>
      <c r="E36" t="s">
        <v>8</v>
      </c>
      <c r="F36" s="3">
        <v>15919.7</v>
      </c>
      <c r="G36" s="3">
        <v>15000</v>
      </c>
      <c r="H36" s="3">
        <v>1591.9700000000003</v>
      </c>
      <c r="I36" t="s">
        <v>9</v>
      </c>
    </row>
    <row r="37" spans="1:9" x14ac:dyDescent="0.35">
      <c r="A37" s="2">
        <v>44287</v>
      </c>
      <c r="B37" t="s">
        <v>14</v>
      </c>
      <c r="C37" t="s">
        <v>15</v>
      </c>
      <c r="D37" t="s">
        <v>16</v>
      </c>
      <c r="E37" t="s">
        <v>8</v>
      </c>
      <c r="F37" s="3">
        <v>17776</v>
      </c>
      <c r="G37" s="3">
        <v>15000</v>
      </c>
      <c r="H37" s="3">
        <v>1777.6000000000001</v>
      </c>
      <c r="I37" t="s">
        <v>41</v>
      </c>
    </row>
    <row r="38" spans="1:9" x14ac:dyDescent="0.35">
      <c r="A38" s="2">
        <v>44287</v>
      </c>
      <c r="B38" t="s">
        <v>25</v>
      </c>
      <c r="C38" t="s">
        <v>26</v>
      </c>
      <c r="D38" t="s">
        <v>27</v>
      </c>
      <c r="E38" t="s">
        <v>8</v>
      </c>
      <c r="F38" s="3">
        <v>36666</v>
      </c>
      <c r="G38" s="3">
        <v>15000</v>
      </c>
      <c r="H38" s="3">
        <v>3666.6000000000004</v>
      </c>
      <c r="I38" t="s">
        <v>13</v>
      </c>
    </row>
    <row r="39" spans="1:9" x14ac:dyDescent="0.35">
      <c r="A39" s="2">
        <v>44287</v>
      </c>
      <c r="B39" t="s">
        <v>14</v>
      </c>
      <c r="C39" t="s">
        <v>15</v>
      </c>
      <c r="D39" t="s">
        <v>16</v>
      </c>
      <c r="E39" t="s">
        <v>8</v>
      </c>
      <c r="F39" s="3">
        <v>38227.699999999997</v>
      </c>
      <c r="G39" s="3">
        <v>15000</v>
      </c>
      <c r="H39" s="3">
        <v>3822.77</v>
      </c>
      <c r="I39" t="s">
        <v>9</v>
      </c>
    </row>
    <row r="40" spans="1:9" x14ac:dyDescent="0.35">
      <c r="A40" s="2">
        <v>44287</v>
      </c>
      <c r="B40" t="s">
        <v>14</v>
      </c>
      <c r="C40" t="s">
        <v>15</v>
      </c>
      <c r="D40" t="s">
        <v>16</v>
      </c>
      <c r="E40" t="s">
        <v>8</v>
      </c>
      <c r="F40" s="3">
        <v>51531.199999999997</v>
      </c>
      <c r="G40" s="3">
        <v>15000</v>
      </c>
      <c r="H40" s="3">
        <v>5153.12</v>
      </c>
      <c r="I40" t="s">
        <v>41</v>
      </c>
    </row>
    <row r="41" spans="1:9" x14ac:dyDescent="0.35">
      <c r="A41" s="2">
        <v>44317</v>
      </c>
      <c r="B41" t="s">
        <v>10</v>
      </c>
      <c r="C41" t="s">
        <v>11</v>
      </c>
      <c r="D41" t="s">
        <v>12</v>
      </c>
      <c r="E41" t="s">
        <v>8</v>
      </c>
      <c r="F41" s="3">
        <v>8686.6</v>
      </c>
      <c r="G41" s="3">
        <v>15000</v>
      </c>
      <c r="H41" s="3" t="s">
        <v>88</v>
      </c>
      <c r="I41" t="s">
        <v>13</v>
      </c>
    </row>
    <row r="42" spans="1:9" x14ac:dyDescent="0.35">
      <c r="A42" s="2">
        <v>44317</v>
      </c>
      <c r="B42" t="s">
        <v>14</v>
      </c>
      <c r="C42" t="s">
        <v>15</v>
      </c>
      <c r="D42" t="s">
        <v>16</v>
      </c>
      <c r="E42" t="s">
        <v>8</v>
      </c>
      <c r="F42" s="3">
        <v>12422.2</v>
      </c>
      <c r="G42" s="3">
        <v>15000</v>
      </c>
      <c r="H42" s="3" t="s">
        <v>88</v>
      </c>
      <c r="I42" t="s">
        <v>41</v>
      </c>
    </row>
    <row r="43" spans="1:9" x14ac:dyDescent="0.35">
      <c r="A43" s="2">
        <v>44317</v>
      </c>
      <c r="B43" t="s">
        <v>25</v>
      </c>
      <c r="C43" t="s">
        <v>26</v>
      </c>
      <c r="D43" t="s">
        <v>27</v>
      </c>
      <c r="E43" t="s">
        <v>8</v>
      </c>
      <c r="F43" s="3">
        <v>15120</v>
      </c>
      <c r="G43" s="3">
        <v>15000</v>
      </c>
      <c r="H43" s="3">
        <v>1512</v>
      </c>
      <c r="I43" t="s">
        <v>13</v>
      </c>
    </row>
    <row r="44" spans="1:9" x14ac:dyDescent="0.35">
      <c r="A44" s="2">
        <v>44317</v>
      </c>
      <c r="B44" t="s">
        <v>10</v>
      </c>
      <c r="C44" t="s">
        <v>11</v>
      </c>
      <c r="D44" t="s">
        <v>12</v>
      </c>
      <c r="E44" t="s">
        <v>8</v>
      </c>
      <c r="F44" s="3">
        <v>16604.400000000001</v>
      </c>
      <c r="G44" s="3">
        <v>15000</v>
      </c>
      <c r="H44" s="3">
        <v>1660.4400000000003</v>
      </c>
      <c r="I44" t="s">
        <v>41</v>
      </c>
    </row>
    <row r="45" spans="1:9" x14ac:dyDescent="0.35">
      <c r="A45" s="2">
        <v>44317</v>
      </c>
      <c r="B45" t="s">
        <v>14</v>
      </c>
      <c r="C45" t="s">
        <v>15</v>
      </c>
      <c r="D45" t="s">
        <v>16</v>
      </c>
      <c r="E45" t="s">
        <v>8</v>
      </c>
      <c r="F45" s="3">
        <v>19584</v>
      </c>
      <c r="G45" s="3">
        <v>15000</v>
      </c>
      <c r="H45" s="3">
        <v>1958.4</v>
      </c>
      <c r="I45" t="s">
        <v>13</v>
      </c>
    </row>
    <row r="46" spans="1:9" x14ac:dyDescent="0.35">
      <c r="A46" s="2">
        <v>44317</v>
      </c>
      <c r="B46" t="s">
        <v>5</v>
      </c>
      <c r="C46" t="s">
        <v>6</v>
      </c>
      <c r="D46" t="s">
        <v>7</v>
      </c>
      <c r="E46" t="s">
        <v>8</v>
      </c>
      <c r="F46" s="3">
        <v>26546.6</v>
      </c>
      <c r="G46" s="3">
        <v>15000</v>
      </c>
      <c r="H46" s="3">
        <v>2654.66</v>
      </c>
      <c r="I46" t="s">
        <v>13</v>
      </c>
    </row>
    <row r="47" spans="1:9" x14ac:dyDescent="0.35">
      <c r="A47" s="2">
        <v>44317</v>
      </c>
      <c r="B47" t="s">
        <v>5</v>
      </c>
      <c r="C47" t="s">
        <v>6</v>
      </c>
      <c r="D47" t="s">
        <v>7</v>
      </c>
      <c r="E47" t="s">
        <v>8</v>
      </c>
      <c r="F47" s="3">
        <v>31200</v>
      </c>
      <c r="G47" s="3">
        <v>15000</v>
      </c>
      <c r="H47" s="3">
        <v>3120</v>
      </c>
      <c r="I47" t="s">
        <v>13</v>
      </c>
    </row>
    <row r="48" spans="1:9" x14ac:dyDescent="0.35">
      <c r="A48" s="2">
        <v>44348</v>
      </c>
      <c r="B48" t="s">
        <v>5</v>
      </c>
      <c r="C48" t="s">
        <v>6</v>
      </c>
      <c r="D48" t="s">
        <v>7</v>
      </c>
      <c r="E48" t="s">
        <v>8</v>
      </c>
      <c r="F48" s="3">
        <v>2070.2999999999997</v>
      </c>
      <c r="G48" s="3">
        <v>15000</v>
      </c>
      <c r="H48" s="3" t="s">
        <v>88</v>
      </c>
      <c r="I48" t="s">
        <v>9</v>
      </c>
    </row>
    <row r="49" spans="1:9" x14ac:dyDescent="0.35">
      <c r="A49" s="2">
        <v>44348</v>
      </c>
      <c r="B49" t="s">
        <v>14</v>
      </c>
      <c r="C49" t="s">
        <v>15</v>
      </c>
      <c r="D49" t="s">
        <v>16</v>
      </c>
      <c r="E49" t="s">
        <v>8</v>
      </c>
      <c r="F49" s="3">
        <v>9499</v>
      </c>
      <c r="G49" s="3">
        <v>15000</v>
      </c>
      <c r="H49" s="3" t="s">
        <v>88</v>
      </c>
      <c r="I49" t="s">
        <v>13</v>
      </c>
    </row>
    <row r="50" spans="1:9" x14ac:dyDescent="0.35">
      <c r="A50" s="2">
        <v>44348</v>
      </c>
      <c r="B50" t="s">
        <v>14</v>
      </c>
      <c r="C50" t="s">
        <v>15</v>
      </c>
      <c r="D50" t="s">
        <v>16</v>
      </c>
      <c r="E50" t="s">
        <v>8</v>
      </c>
      <c r="F50" s="3">
        <v>17904.7</v>
      </c>
      <c r="G50" s="3">
        <v>15000</v>
      </c>
      <c r="H50" s="3">
        <v>1790.4700000000003</v>
      </c>
      <c r="I50" t="s">
        <v>41</v>
      </c>
    </row>
    <row r="51" spans="1:9" x14ac:dyDescent="0.35">
      <c r="A51" s="2">
        <v>44348</v>
      </c>
      <c r="B51" t="s">
        <v>14</v>
      </c>
      <c r="C51" t="s">
        <v>15</v>
      </c>
      <c r="D51" t="s">
        <v>16</v>
      </c>
      <c r="E51" t="s">
        <v>8</v>
      </c>
      <c r="F51" s="3">
        <v>18878.399999999998</v>
      </c>
      <c r="G51" s="3">
        <v>15000</v>
      </c>
      <c r="H51" s="3">
        <v>1887.84</v>
      </c>
      <c r="I51" t="s">
        <v>13</v>
      </c>
    </row>
    <row r="52" spans="1:9" x14ac:dyDescent="0.35">
      <c r="A52" s="2">
        <v>44348</v>
      </c>
      <c r="B52" t="s">
        <v>14</v>
      </c>
      <c r="C52" t="s">
        <v>15</v>
      </c>
      <c r="D52" t="s">
        <v>16</v>
      </c>
      <c r="E52" t="s">
        <v>8</v>
      </c>
      <c r="F52" s="3">
        <v>23445</v>
      </c>
      <c r="G52" s="3">
        <v>15000</v>
      </c>
      <c r="H52" s="3">
        <v>2344.5</v>
      </c>
      <c r="I52" t="s">
        <v>13</v>
      </c>
    </row>
    <row r="53" spans="1:9" x14ac:dyDescent="0.35">
      <c r="A53" s="2">
        <v>44348</v>
      </c>
      <c r="B53" t="s">
        <v>14</v>
      </c>
      <c r="C53" t="s">
        <v>15</v>
      </c>
      <c r="D53" t="s">
        <v>16</v>
      </c>
      <c r="E53" t="s">
        <v>8</v>
      </c>
      <c r="F53" s="3">
        <v>34162</v>
      </c>
      <c r="G53" s="3">
        <v>15000</v>
      </c>
      <c r="H53" s="3">
        <v>3416.2000000000003</v>
      </c>
      <c r="I53" t="s">
        <v>13</v>
      </c>
    </row>
    <row r="54" spans="1:9" x14ac:dyDescent="0.35">
      <c r="A54" s="2">
        <v>44378</v>
      </c>
      <c r="B54" t="s">
        <v>14</v>
      </c>
      <c r="C54" t="s">
        <v>15</v>
      </c>
      <c r="D54" t="s">
        <v>16</v>
      </c>
      <c r="E54" t="s">
        <v>8</v>
      </c>
      <c r="F54" s="3">
        <v>3055.2</v>
      </c>
      <c r="G54" s="3">
        <v>15000</v>
      </c>
      <c r="H54" s="3" t="s">
        <v>88</v>
      </c>
      <c r="I54" t="s">
        <v>9</v>
      </c>
    </row>
    <row r="55" spans="1:9" x14ac:dyDescent="0.35">
      <c r="A55" s="2">
        <v>44378</v>
      </c>
      <c r="B55" t="s">
        <v>5</v>
      </c>
      <c r="C55" t="s">
        <v>6</v>
      </c>
      <c r="D55" t="s">
        <v>7</v>
      </c>
      <c r="E55" t="s">
        <v>8</v>
      </c>
      <c r="F55" s="3">
        <v>4843.4000000000005</v>
      </c>
      <c r="G55" s="3">
        <v>15000</v>
      </c>
      <c r="H55" s="3" t="s">
        <v>88</v>
      </c>
      <c r="I55" t="s">
        <v>41</v>
      </c>
    </row>
    <row r="56" spans="1:9" x14ac:dyDescent="0.35">
      <c r="A56" s="2">
        <v>44378</v>
      </c>
      <c r="B56" t="s">
        <v>10</v>
      </c>
      <c r="C56" t="s">
        <v>11</v>
      </c>
      <c r="D56" t="s">
        <v>12</v>
      </c>
      <c r="E56" t="s">
        <v>8</v>
      </c>
      <c r="F56" s="3">
        <v>5215.2</v>
      </c>
      <c r="G56" s="3">
        <v>15000</v>
      </c>
      <c r="H56" s="3" t="s">
        <v>88</v>
      </c>
      <c r="I56" t="s">
        <v>41</v>
      </c>
    </row>
    <row r="57" spans="1:9" x14ac:dyDescent="0.35">
      <c r="A57" s="2">
        <v>44378</v>
      </c>
      <c r="B57" t="s">
        <v>14</v>
      </c>
      <c r="C57" t="s">
        <v>15</v>
      </c>
      <c r="D57" t="s">
        <v>16</v>
      </c>
      <c r="E57" t="s">
        <v>8</v>
      </c>
      <c r="F57" s="3">
        <v>7199.7000000000007</v>
      </c>
      <c r="G57" s="3">
        <v>15000</v>
      </c>
      <c r="H57" s="3" t="s">
        <v>88</v>
      </c>
      <c r="I57" t="s">
        <v>41</v>
      </c>
    </row>
    <row r="58" spans="1:9" x14ac:dyDescent="0.35">
      <c r="A58" s="2">
        <v>44378</v>
      </c>
      <c r="B58" t="s">
        <v>66</v>
      </c>
      <c r="C58" t="s">
        <v>67</v>
      </c>
      <c r="D58" t="s">
        <v>68</v>
      </c>
      <c r="E58" t="s">
        <v>8</v>
      </c>
      <c r="F58" s="3">
        <v>14670</v>
      </c>
      <c r="G58" s="3">
        <v>15000</v>
      </c>
      <c r="H58" s="3" t="s">
        <v>88</v>
      </c>
      <c r="I58" t="s">
        <v>9</v>
      </c>
    </row>
    <row r="59" spans="1:9" x14ac:dyDescent="0.35">
      <c r="A59" s="2">
        <v>44378</v>
      </c>
      <c r="B59" t="s">
        <v>5</v>
      </c>
      <c r="C59" t="s">
        <v>6</v>
      </c>
      <c r="D59" t="s">
        <v>7</v>
      </c>
      <c r="E59" t="s">
        <v>8</v>
      </c>
      <c r="F59" s="3">
        <v>16614.400000000001</v>
      </c>
      <c r="G59" s="3">
        <v>15000</v>
      </c>
      <c r="H59" s="3">
        <v>1661.4400000000003</v>
      </c>
      <c r="I59" t="s">
        <v>9</v>
      </c>
    </row>
    <row r="60" spans="1:9" x14ac:dyDescent="0.35">
      <c r="A60" s="2">
        <v>44378</v>
      </c>
      <c r="B60" t="s">
        <v>66</v>
      </c>
      <c r="C60" t="s">
        <v>67</v>
      </c>
      <c r="D60" t="s">
        <v>68</v>
      </c>
      <c r="E60" t="s">
        <v>8</v>
      </c>
      <c r="F60" s="3">
        <v>20076.7</v>
      </c>
      <c r="G60" s="3">
        <v>15000</v>
      </c>
      <c r="H60" s="3">
        <v>2007.67</v>
      </c>
      <c r="I60" t="s">
        <v>41</v>
      </c>
    </row>
    <row r="61" spans="1:9" x14ac:dyDescent="0.35">
      <c r="A61" s="2">
        <v>44378</v>
      </c>
      <c r="B61" t="s">
        <v>14</v>
      </c>
      <c r="C61" t="s">
        <v>15</v>
      </c>
      <c r="D61" t="s">
        <v>16</v>
      </c>
      <c r="E61" t="s">
        <v>8</v>
      </c>
      <c r="F61" s="3">
        <v>21482.999999999996</v>
      </c>
      <c r="G61" s="3">
        <v>15000</v>
      </c>
      <c r="H61" s="3">
        <v>2148.2999999999997</v>
      </c>
      <c r="I61" t="s">
        <v>41</v>
      </c>
    </row>
    <row r="62" spans="1:9" x14ac:dyDescent="0.35">
      <c r="A62" s="2">
        <v>44378</v>
      </c>
      <c r="B62" t="s">
        <v>25</v>
      </c>
      <c r="C62" t="s">
        <v>26</v>
      </c>
      <c r="D62" t="s">
        <v>27</v>
      </c>
      <c r="E62" t="s">
        <v>8</v>
      </c>
      <c r="F62" s="3">
        <v>30776.799999999999</v>
      </c>
      <c r="G62" s="3">
        <v>15000</v>
      </c>
      <c r="H62" s="3">
        <v>3077.6800000000003</v>
      </c>
      <c r="I62" t="s">
        <v>9</v>
      </c>
    </row>
    <row r="63" spans="1:9" x14ac:dyDescent="0.35">
      <c r="A63" s="2">
        <v>44409</v>
      </c>
      <c r="B63" t="s">
        <v>66</v>
      </c>
      <c r="C63" t="s">
        <v>67</v>
      </c>
      <c r="D63" t="s">
        <v>68</v>
      </c>
      <c r="E63" t="s">
        <v>8</v>
      </c>
      <c r="F63" s="3">
        <v>8625</v>
      </c>
      <c r="G63" s="3">
        <v>15000</v>
      </c>
      <c r="H63" s="3" t="s">
        <v>88</v>
      </c>
      <c r="I63" t="s">
        <v>13</v>
      </c>
    </row>
    <row r="64" spans="1:9" x14ac:dyDescent="0.35">
      <c r="A64" s="2">
        <v>44409</v>
      </c>
      <c r="B64" t="s">
        <v>14</v>
      </c>
      <c r="C64" t="s">
        <v>15</v>
      </c>
      <c r="D64" t="s">
        <v>16</v>
      </c>
      <c r="E64" t="s">
        <v>8</v>
      </c>
      <c r="F64" s="3">
        <v>9794</v>
      </c>
      <c r="G64" s="3">
        <v>15000</v>
      </c>
      <c r="H64" s="3" t="s">
        <v>88</v>
      </c>
      <c r="I64" t="s">
        <v>13</v>
      </c>
    </row>
    <row r="65" spans="1:9" x14ac:dyDescent="0.35">
      <c r="A65" s="2">
        <v>44409</v>
      </c>
      <c r="B65" t="s">
        <v>66</v>
      </c>
      <c r="C65" t="s">
        <v>67</v>
      </c>
      <c r="D65" t="s">
        <v>68</v>
      </c>
      <c r="E65" t="s">
        <v>8</v>
      </c>
      <c r="F65" s="3">
        <v>16321.6</v>
      </c>
      <c r="G65" s="3">
        <v>15000</v>
      </c>
      <c r="H65" s="3">
        <v>1632.16</v>
      </c>
      <c r="I65" t="s">
        <v>9</v>
      </c>
    </row>
    <row r="66" spans="1:9" x14ac:dyDescent="0.35">
      <c r="A66" s="2">
        <v>44409</v>
      </c>
      <c r="B66" t="s">
        <v>14</v>
      </c>
      <c r="C66" t="s">
        <v>15</v>
      </c>
      <c r="D66" t="s">
        <v>16</v>
      </c>
      <c r="E66" t="s">
        <v>8</v>
      </c>
      <c r="F66" s="3">
        <v>19678.8</v>
      </c>
      <c r="G66" s="3">
        <v>15000</v>
      </c>
      <c r="H66" s="3">
        <v>1967.88</v>
      </c>
      <c r="I66" t="s">
        <v>13</v>
      </c>
    </row>
    <row r="67" spans="1:9" x14ac:dyDescent="0.35">
      <c r="A67" s="2">
        <v>44409</v>
      </c>
      <c r="B67" t="s">
        <v>66</v>
      </c>
      <c r="C67" t="s">
        <v>67</v>
      </c>
      <c r="D67" t="s">
        <v>68</v>
      </c>
      <c r="E67" t="s">
        <v>8</v>
      </c>
      <c r="F67" s="3">
        <v>33694.800000000003</v>
      </c>
      <c r="G67" s="3">
        <v>15000</v>
      </c>
      <c r="H67" s="3">
        <v>3369.4800000000005</v>
      </c>
      <c r="I67" t="s">
        <v>13</v>
      </c>
    </row>
    <row r="68" spans="1:9" x14ac:dyDescent="0.35">
      <c r="A68" s="2">
        <v>44409</v>
      </c>
      <c r="B68" t="s">
        <v>10</v>
      </c>
      <c r="C68" t="s">
        <v>11</v>
      </c>
      <c r="D68" t="s">
        <v>12</v>
      </c>
      <c r="E68" t="s">
        <v>8</v>
      </c>
      <c r="F68" s="3">
        <v>39236</v>
      </c>
      <c r="G68" s="3">
        <v>15000</v>
      </c>
      <c r="H68" s="3">
        <v>3923.6000000000004</v>
      </c>
      <c r="I68" t="s">
        <v>41</v>
      </c>
    </row>
    <row r="69" spans="1:9" x14ac:dyDescent="0.35">
      <c r="A69" s="2">
        <v>44409</v>
      </c>
      <c r="B69" t="s">
        <v>14</v>
      </c>
      <c r="C69" t="s">
        <v>15</v>
      </c>
      <c r="D69" t="s">
        <v>16</v>
      </c>
      <c r="E69" t="s">
        <v>8</v>
      </c>
      <c r="F69" s="3">
        <v>43088.2</v>
      </c>
      <c r="G69" s="3">
        <v>15000</v>
      </c>
      <c r="H69" s="3">
        <v>4308.82</v>
      </c>
      <c r="I69" t="s">
        <v>9</v>
      </c>
    </row>
    <row r="70" spans="1:9" x14ac:dyDescent="0.35">
      <c r="A70" s="2">
        <v>44440</v>
      </c>
      <c r="B70" t="s">
        <v>5</v>
      </c>
      <c r="C70" t="s">
        <v>6</v>
      </c>
      <c r="D70" t="s">
        <v>7</v>
      </c>
      <c r="E70" t="s">
        <v>8</v>
      </c>
      <c r="F70" s="3">
        <v>5572.3</v>
      </c>
      <c r="G70" s="3">
        <v>15000</v>
      </c>
      <c r="H70" s="3" t="s">
        <v>88</v>
      </c>
      <c r="I70" t="s">
        <v>9</v>
      </c>
    </row>
    <row r="71" spans="1:9" x14ac:dyDescent="0.35">
      <c r="A71" s="2">
        <v>44440</v>
      </c>
      <c r="B71" t="s">
        <v>14</v>
      </c>
      <c r="C71" t="s">
        <v>15</v>
      </c>
      <c r="D71" t="s">
        <v>16</v>
      </c>
      <c r="E71" t="s">
        <v>8</v>
      </c>
      <c r="F71" s="3">
        <v>7496.9999999999991</v>
      </c>
      <c r="G71" s="3">
        <v>15000</v>
      </c>
      <c r="H71" s="3" t="s">
        <v>88</v>
      </c>
      <c r="I71" t="s">
        <v>13</v>
      </c>
    </row>
    <row r="72" spans="1:9" x14ac:dyDescent="0.35">
      <c r="A72" s="2">
        <v>44440</v>
      </c>
      <c r="B72" t="s">
        <v>10</v>
      </c>
      <c r="C72" t="s">
        <v>11</v>
      </c>
      <c r="D72" t="s">
        <v>12</v>
      </c>
      <c r="E72" t="s">
        <v>8</v>
      </c>
      <c r="F72" s="3">
        <v>9651.1999999999989</v>
      </c>
      <c r="G72" s="3">
        <v>15000</v>
      </c>
      <c r="H72" s="3" t="s">
        <v>88</v>
      </c>
      <c r="I72" t="s">
        <v>9</v>
      </c>
    </row>
    <row r="73" spans="1:9" x14ac:dyDescent="0.35">
      <c r="A73" s="2">
        <v>44440</v>
      </c>
      <c r="B73" t="s">
        <v>5</v>
      </c>
      <c r="C73" t="s">
        <v>6</v>
      </c>
      <c r="D73" t="s">
        <v>7</v>
      </c>
      <c r="E73" t="s">
        <v>8</v>
      </c>
      <c r="F73" s="3">
        <v>10492.199999999997</v>
      </c>
      <c r="G73" s="3">
        <v>15000</v>
      </c>
      <c r="H73" s="3" t="s">
        <v>88</v>
      </c>
      <c r="I73" t="s">
        <v>41</v>
      </c>
    </row>
    <row r="74" spans="1:9" x14ac:dyDescent="0.35">
      <c r="A74" s="2">
        <v>44440</v>
      </c>
      <c r="B74" t="s">
        <v>5</v>
      </c>
      <c r="C74" t="s">
        <v>6</v>
      </c>
      <c r="D74" t="s">
        <v>7</v>
      </c>
      <c r="E74" t="s">
        <v>8</v>
      </c>
      <c r="F74" s="3">
        <v>18396.7</v>
      </c>
      <c r="G74" s="3">
        <v>15000</v>
      </c>
      <c r="H74" s="3">
        <v>1839.67</v>
      </c>
      <c r="I74" t="s">
        <v>9</v>
      </c>
    </row>
    <row r="75" spans="1:9" x14ac:dyDescent="0.35">
      <c r="A75" s="2">
        <v>44440</v>
      </c>
      <c r="B75" t="s">
        <v>10</v>
      </c>
      <c r="C75" t="s">
        <v>11</v>
      </c>
      <c r="D75" t="s">
        <v>12</v>
      </c>
      <c r="E75" t="s">
        <v>8</v>
      </c>
      <c r="F75" s="3">
        <v>23849.599999999999</v>
      </c>
      <c r="G75" s="3">
        <v>15000</v>
      </c>
      <c r="H75" s="3">
        <v>2384.96</v>
      </c>
      <c r="I75" t="s">
        <v>9</v>
      </c>
    </row>
    <row r="76" spans="1:9" x14ac:dyDescent="0.35">
      <c r="A76" s="2">
        <v>44440</v>
      </c>
      <c r="B76" t="s">
        <v>66</v>
      </c>
      <c r="C76" t="s">
        <v>67</v>
      </c>
      <c r="D76" t="s">
        <v>68</v>
      </c>
      <c r="E76" t="s">
        <v>8</v>
      </c>
      <c r="F76" s="3">
        <v>23882.399999999998</v>
      </c>
      <c r="G76" s="3">
        <v>15000</v>
      </c>
      <c r="H76" s="3">
        <v>2388.2399999999998</v>
      </c>
      <c r="I76" t="s">
        <v>41</v>
      </c>
    </row>
    <row r="77" spans="1:9" x14ac:dyDescent="0.35">
      <c r="A77" s="2">
        <v>44440</v>
      </c>
      <c r="B77" t="s">
        <v>10</v>
      </c>
      <c r="C77" t="s">
        <v>11</v>
      </c>
      <c r="D77" t="s">
        <v>12</v>
      </c>
      <c r="E77" t="s">
        <v>8</v>
      </c>
      <c r="F77" s="3">
        <v>34041.300000000003</v>
      </c>
      <c r="G77" s="3">
        <v>15000</v>
      </c>
      <c r="H77" s="3">
        <v>3404.1300000000006</v>
      </c>
      <c r="I77" t="s">
        <v>41</v>
      </c>
    </row>
    <row r="78" spans="1:9" x14ac:dyDescent="0.35">
      <c r="A78" s="2">
        <v>44470</v>
      </c>
      <c r="B78" t="s">
        <v>25</v>
      </c>
      <c r="C78" t="s">
        <v>26</v>
      </c>
      <c r="D78" t="s">
        <v>27</v>
      </c>
      <c r="E78" t="s">
        <v>8</v>
      </c>
      <c r="F78" s="3">
        <v>3243.6000000000004</v>
      </c>
      <c r="G78" s="3">
        <v>15000</v>
      </c>
      <c r="H78" s="3" t="s">
        <v>88</v>
      </c>
      <c r="I78" t="s">
        <v>9</v>
      </c>
    </row>
    <row r="79" spans="1:9" x14ac:dyDescent="0.35">
      <c r="A79" s="2">
        <v>44470</v>
      </c>
      <c r="B79" t="s">
        <v>14</v>
      </c>
      <c r="C79" t="s">
        <v>15</v>
      </c>
      <c r="D79" t="s">
        <v>16</v>
      </c>
      <c r="E79" t="s">
        <v>8</v>
      </c>
      <c r="F79" s="3">
        <v>12633.599999999999</v>
      </c>
      <c r="G79" s="3">
        <v>15000</v>
      </c>
      <c r="H79" s="3" t="s">
        <v>88</v>
      </c>
      <c r="I79" t="s">
        <v>13</v>
      </c>
    </row>
    <row r="80" spans="1:9" x14ac:dyDescent="0.35">
      <c r="A80" s="2">
        <v>44470</v>
      </c>
      <c r="B80" t="s">
        <v>25</v>
      </c>
      <c r="C80" t="s">
        <v>26</v>
      </c>
      <c r="D80" t="s">
        <v>27</v>
      </c>
      <c r="E80" t="s">
        <v>8</v>
      </c>
      <c r="F80" s="3">
        <v>12806.399999999998</v>
      </c>
      <c r="G80" s="3">
        <v>15000</v>
      </c>
      <c r="H80" s="3" t="s">
        <v>88</v>
      </c>
      <c r="I80" t="s">
        <v>41</v>
      </c>
    </row>
    <row r="81" spans="1:9" x14ac:dyDescent="0.35">
      <c r="A81" s="2">
        <v>44470</v>
      </c>
      <c r="B81" t="s">
        <v>10</v>
      </c>
      <c r="C81" t="s">
        <v>11</v>
      </c>
      <c r="D81" t="s">
        <v>12</v>
      </c>
      <c r="E81" t="s">
        <v>8</v>
      </c>
      <c r="F81" s="3">
        <v>20031.199999999997</v>
      </c>
      <c r="G81" s="3">
        <v>15000</v>
      </c>
      <c r="H81" s="3">
        <v>2003.12</v>
      </c>
      <c r="I81" t="s">
        <v>41</v>
      </c>
    </row>
    <row r="82" spans="1:9" x14ac:dyDescent="0.35">
      <c r="A82" s="2">
        <v>44470</v>
      </c>
      <c r="B82" t="s">
        <v>5</v>
      </c>
      <c r="C82" t="s">
        <v>6</v>
      </c>
      <c r="D82" t="s">
        <v>7</v>
      </c>
      <c r="E82" t="s">
        <v>8</v>
      </c>
      <c r="F82" s="3">
        <v>21485.200000000001</v>
      </c>
      <c r="G82" s="3">
        <v>15000</v>
      </c>
      <c r="H82" s="3">
        <v>2148.52</v>
      </c>
      <c r="I82" t="s">
        <v>13</v>
      </c>
    </row>
    <row r="83" spans="1:9" x14ac:dyDescent="0.35">
      <c r="A83" s="2">
        <v>44470</v>
      </c>
      <c r="B83" t="s">
        <v>66</v>
      </c>
      <c r="C83" t="s">
        <v>67</v>
      </c>
      <c r="D83" t="s">
        <v>68</v>
      </c>
      <c r="E83" t="s">
        <v>8</v>
      </c>
      <c r="F83" s="3">
        <v>22607.200000000004</v>
      </c>
      <c r="G83" s="3">
        <v>15000</v>
      </c>
      <c r="H83" s="3">
        <v>2260.7200000000007</v>
      </c>
      <c r="I83" t="s">
        <v>9</v>
      </c>
    </row>
    <row r="84" spans="1:9" x14ac:dyDescent="0.35">
      <c r="A84" s="2">
        <v>44501</v>
      </c>
      <c r="B84" t="s">
        <v>10</v>
      </c>
      <c r="C84" t="s">
        <v>11</v>
      </c>
      <c r="D84" t="s">
        <v>12</v>
      </c>
      <c r="E84" t="s">
        <v>8</v>
      </c>
      <c r="F84" s="3">
        <v>5130</v>
      </c>
      <c r="G84" s="3">
        <v>15000</v>
      </c>
      <c r="H84" s="3" t="s">
        <v>88</v>
      </c>
      <c r="I84" t="s">
        <v>13</v>
      </c>
    </row>
    <row r="85" spans="1:9" x14ac:dyDescent="0.35">
      <c r="A85" s="2">
        <v>44501</v>
      </c>
      <c r="B85" t="s">
        <v>5</v>
      </c>
      <c r="C85" t="s">
        <v>6</v>
      </c>
      <c r="D85" t="s">
        <v>7</v>
      </c>
      <c r="E85" t="s">
        <v>8</v>
      </c>
      <c r="F85" s="3">
        <v>8810.9</v>
      </c>
      <c r="G85" s="3">
        <v>15000</v>
      </c>
      <c r="H85" s="3" t="s">
        <v>88</v>
      </c>
      <c r="I85" t="s">
        <v>9</v>
      </c>
    </row>
    <row r="86" spans="1:9" x14ac:dyDescent="0.35">
      <c r="A86" s="2">
        <v>44501</v>
      </c>
      <c r="B86" t="s">
        <v>25</v>
      </c>
      <c r="C86" t="s">
        <v>26</v>
      </c>
      <c r="D86" t="s">
        <v>27</v>
      </c>
      <c r="E86" t="s">
        <v>8</v>
      </c>
      <c r="F86" s="3">
        <v>16606</v>
      </c>
      <c r="G86" s="3">
        <v>15000</v>
      </c>
      <c r="H86" s="3">
        <v>1660.6000000000001</v>
      </c>
      <c r="I86" t="s">
        <v>9</v>
      </c>
    </row>
    <row r="87" spans="1:9" x14ac:dyDescent="0.35">
      <c r="A87" s="2">
        <v>44501</v>
      </c>
      <c r="B87" t="s">
        <v>10</v>
      </c>
      <c r="C87" t="s">
        <v>11</v>
      </c>
      <c r="D87" t="s">
        <v>12</v>
      </c>
      <c r="E87" t="s">
        <v>8</v>
      </c>
      <c r="F87" s="3">
        <v>17766</v>
      </c>
      <c r="G87" s="3">
        <v>15000</v>
      </c>
      <c r="H87" s="3">
        <v>1776.6000000000001</v>
      </c>
      <c r="I87" t="s">
        <v>9</v>
      </c>
    </row>
    <row r="88" spans="1:9" x14ac:dyDescent="0.35">
      <c r="A88" s="2">
        <v>44501</v>
      </c>
      <c r="B88" t="s">
        <v>14</v>
      </c>
      <c r="C88" t="s">
        <v>15</v>
      </c>
      <c r="D88" t="s">
        <v>16</v>
      </c>
      <c r="E88" t="s">
        <v>8</v>
      </c>
      <c r="F88" s="3">
        <v>20916</v>
      </c>
      <c r="G88" s="3">
        <v>15000</v>
      </c>
      <c r="H88" s="3">
        <v>2091.6</v>
      </c>
      <c r="I88" t="s">
        <v>9</v>
      </c>
    </row>
    <row r="89" spans="1:9" x14ac:dyDescent="0.35">
      <c r="A89" s="2">
        <v>44501</v>
      </c>
      <c r="B89" t="s">
        <v>14</v>
      </c>
      <c r="C89" t="s">
        <v>15</v>
      </c>
      <c r="D89" t="s">
        <v>16</v>
      </c>
      <c r="E89" t="s">
        <v>8</v>
      </c>
      <c r="F89" s="3">
        <v>22396.5</v>
      </c>
      <c r="G89" s="3">
        <v>15000</v>
      </c>
      <c r="H89" s="3">
        <v>2239.65</v>
      </c>
      <c r="I89" t="s">
        <v>41</v>
      </c>
    </row>
    <row r="90" spans="1:9" x14ac:dyDescent="0.35">
      <c r="A90" s="2">
        <v>44501</v>
      </c>
      <c r="B90" t="s">
        <v>10</v>
      </c>
      <c r="C90" t="s">
        <v>11</v>
      </c>
      <c r="D90" t="s">
        <v>12</v>
      </c>
      <c r="E90" t="s">
        <v>8</v>
      </c>
      <c r="F90" s="3">
        <v>25633.5</v>
      </c>
      <c r="G90" s="3">
        <v>15000</v>
      </c>
      <c r="H90" s="3">
        <v>2563.3500000000004</v>
      </c>
      <c r="I90" t="s">
        <v>13</v>
      </c>
    </row>
    <row r="91" spans="1:9" x14ac:dyDescent="0.35">
      <c r="A91" s="2">
        <v>44501</v>
      </c>
      <c r="B91" t="s">
        <v>14</v>
      </c>
      <c r="C91" t="s">
        <v>15</v>
      </c>
      <c r="D91" t="s">
        <v>16</v>
      </c>
      <c r="E91" t="s">
        <v>8</v>
      </c>
      <c r="F91" s="3">
        <v>37374.399999999994</v>
      </c>
      <c r="G91" s="3">
        <v>15000</v>
      </c>
      <c r="H91" s="3">
        <v>3737.4399999999996</v>
      </c>
      <c r="I91" t="s">
        <v>41</v>
      </c>
    </row>
    <row r="92" spans="1:9" x14ac:dyDescent="0.35">
      <c r="A92" s="2">
        <v>44531</v>
      </c>
      <c r="B92" t="s">
        <v>10</v>
      </c>
      <c r="C92" t="s">
        <v>11</v>
      </c>
      <c r="D92" t="s">
        <v>12</v>
      </c>
      <c r="E92" t="s">
        <v>8</v>
      </c>
      <c r="F92" s="3">
        <v>3817.9999999999995</v>
      </c>
      <c r="G92" s="3">
        <v>15000</v>
      </c>
      <c r="H92" s="3" t="s">
        <v>88</v>
      </c>
      <c r="I92" t="s">
        <v>9</v>
      </c>
    </row>
    <row r="93" spans="1:9" x14ac:dyDescent="0.35">
      <c r="A93" s="2">
        <v>44531</v>
      </c>
      <c r="B93" t="s">
        <v>14</v>
      </c>
      <c r="C93" t="s">
        <v>15</v>
      </c>
      <c r="D93" t="s">
        <v>16</v>
      </c>
      <c r="E93" t="s">
        <v>8</v>
      </c>
      <c r="F93" s="3">
        <v>8683.1999999999989</v>
      </c>
      <c r="G93" s="3">
        <v>15000</v>
      </c>
      <c r="H93" s="3" t="s">
        <v>88</v>
      </c>
      <c r="I93" t="s">
        <v>13</v>
      </c>
    </row>
    <row r="94" spans="1:9" x14ac:dyDescent="0.35">
      <c r="A94" s="2">
        <v>44531</v>
      </c>
      <c r="B94" t="s">
        <v>5</v>
      </c>
      <c r="C94" t="s">
        <v>6</v>
      </c>
      <c r="D94" t="s">
        <v>7</v>
      </c>
      <c r="E94" t="s">
        <v>8</v>
      </c>
      <c r="F94" s="3">
        <v>11210</v>
      </c>
      <c r="G94" s="3">
        <v>15000</v>
      </c>
      <c r="H94" s="3" t="s">
        <v>88</v>
      </c>
      <c r="I94" t="s">
        <v>41</v>
      </c>
    </row>
    <row r="95" spans="1:9" x14ac:dyDescent="0.35">
      <c r="A95" s="2">
        <v>44531</v>
      </c>
      <c r="B95" t="s">
        <v>25</v>
      </c>
      <c r="C95" t="s">
        <v>26</v>
      </c>
      <c r="D95" t="s">
        <v>27</v>
      </c>
      <c r="E95" t="s">
        <v>8</v>
      </c>
      <c r="F95" s="3">
        <v>12765.2</v>
      </c>
      <c r="G95" s="3">
        <v>15000</v>
      </c>
      <c r="H95" s="3" t="s">
        <v>88</v>
      </c>
      <c r="I95" t="s">
        <v>41</v>
      </c>
    </row>
    <row r="96" spans="1:9" x14ac:dyDescent="0.35">
      <c r="A96" s="2">
        <v>44531</v>
      </c>
      <c r="B96" t="s">
        <v>10</v>
      </c>
      <c r="C96" t="s">
        <v>11</v>
      </c>
      <c r="D96" t="s">
        <v>12</v>
      </c>
      <c r="E96" t="s">
        <v>8</v>
      </c>
      <c r="F96" s="3">
        <v>15921.999999999998</v>
      </c>
      <c r="G96" s="3">
        <v>15000</v>
      </c>
      <c r="H96" s="3">
        <v>1592.1999999999998</v>
      </c>
      <c r="I96" t="s">
        <v>41</v>
      </c>
    </row>
    <row r="97" spans="1:9" x14ac:dyDescent="0.35">
      <c r="A97" s="2">
        <v>44531</v>
      </c>
      <c r="B97" t="s">
        <v>25</v>
      </c>
      <c r="C97" t="s">
        <v>26</v>
      </c>
      <c r="D97" t="s">
        <v>27</v>
      </c>
      <c r="E97" t="s">
        <v>8</v>
      </c>
      <c r="F97" s="3">
        <v>31970.799999999999</v>
      </c>
      <c r="G97" s="3">
        <v>15000</v>
      </c>
      <c r="H97" s="3">
        <v>3197.08</v>
      </c>
      <c r="I97" t="s">
        <v>9</v>
      </c>
    </row>
    <row r="98" spans="1:9" x14ac:dyDescent="0.35">
      <c r="A98" s="2">
        <v>44531</v>
      </c>
      <c r="B98" t="s">
        <v>5</v>
      </c>
      <c r="C98" t="s">
        <v>6</v>
      </c>
      <c r="D98" t="s">
        <v>7</v>
      </c>
      <c r="E98" t="s">
        <v>8</v>
      </c>
      <c r="F98" s="3">
        <v>41520</v>
      </c>
      <c r="G98" s="3">
        <v>15000</v>
      </c>
      <c r="H98" s="3">
        <v>4152</v>
      </c>
      <c r="I98" t="s">
        <v>9</v>
      </c>
    </row>
    <row r="99" spans="1:9" x14ac:dyDescent="0.35">
      <c r="A99" s="2">
        <v>44531</v>
      </c>
      <c r="B99" t="s">
        <v>5</v>
      </c>
      <c r="C99" t="s">
        <v>6</v>
      </c>
      <c r="D99" t="s">
        <v>7</v>
      </c>
      <c r="E99" t="s">
        <v>8</v>
      </c>
      <c r="F99" s="3">
        <v>45800.999999999993</v>
      </c>
      <c r="G99" s="3">
        <v>15000</v>
      </c>
      <c r="H99" s="3">
        <v>4580.0999999999995</v>
      </c>
      <c r="I99" t="s">
        <v>13</v>
      </c>
    </row>
  </sheetData>
  <conditionalFormatting sqref="F1:F1048576">
    <cfRule type="top10" dxfId="3" priority="1" rank="5"/>
  </conditionalFormatting>
  <hyperlinks>
    <hyperlink ref="Q1" location="'Cover Page'!A1" display="'back to Cover Page" xr:uid="{851011B0-5064-41BE-AA4C-D8624E11034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2B80D-9333-4226-A60B-E2CE8605722F}">
  <dimension ref="A1:R101"/>
  <sheetViews>
    <sheetView topLeftCell="H1" workbookViewId="0">
      <selection activeCell="R2" sqref="R2"/>
    </sheetView>
  </sheetViews>
  <sheetFormatPr defaultRowHeight="14.5" x14ac:dyDescent="0.35"/>
  <cols>
    <col min="1" max="1" width="13.7265625" customWidth="1"/>
    <col min="2" max="2" width="17.26953125" hidden="1" customWidth="1"/>
    <col min="3" max="3" width="20.453125" hidden="1" customWidth="1"/>
    <col min="4" max="4" width="21.81640625" customWidth="1"/>
    <col min="5" max="5" width="16" customWidth="1"/>
    <col min="6" max="6" width="24.81640625" customWidth="1"/>
    <col min="7" max="7" width="15.81640625" customWidth="1"/>
    <col min="8" max="8" width="17.26953125" customWidth="1"/>
    <col min="9" max="9" width="27.453125" customWidth="1"/>
    <col min="11" max="15" width="14.7265625" bestFit="1" customWidth="1"/>
    <col min="18" max="18" width="18.453125" customWidth="1"/>
  </cols>
  <sheetData>
    <row r="1" spans="1:18" ht="23.5" x14ac:dyDescent="0.5">
      <c r="A1" s="14"/>
      <c r="B1" s="14"/>
      <c r="C1" s="14"/>
      <c r="D1" s="14" t="s">
        <v>91</v>
      </c>
      <c r="E1" s="14"/>
      <c r="F1" s="11"/>
      <c r="G1" s="11"/>
      <c r="H1" s="11"/>
      <c r="I1" s="11"/>
      <c r="K1" s="9" t="s">
        <v>18</v>
      </c>
      <c r="L1" s="9" t="s">
        <v>43</v>
      </c>
      <c r="M1" s="9" t="s">
        <v>52</v>
      </c>
      <c r="N1" s="9" t="s">
        <v>64</v>
      </c>
      <c r="O1" s="9" t="s">
        <v>36</v>
      </c>
      <c r="R1" s="34" t="s">
        <v>133</v>
      </c>
    </row>
    <row r="2" spans="1:18" x14ac:dyDescent="0.35">
      <c r="K2" s="20">
        <f>SUMIF(C4:C101,K1, F4:F101)</f>
        <v>270631.90000000002</v>
      </c>
      <c r="L2" s="20">
        <f>SUMIF(C4:C101,L1, F4:F101)</f>
        <v>423881</v>
      </c>
      <c r="M2" s="20">
        <f>SUMIF(C4:C101,M1, F4:F101)</f>
        <v>406452.50000000006</v>
      </c>
      <c r="N2" s="20">
        <f>SUMIF(C4:C101,N1, F4:F101)</f>
        <v>388246.60000000003</v>
      </c>
      <c r="O2" s="20">
        <f>SUMIF(C4:C101,O1, F4:F101)</f>
        <v>233175.90000000002</v>
      </c>
    </row>
    <row r="3" spans="1:18" ht="50.25" customHeight="1" thickBot="1" x14ac:dyDescent="0.4">
      <c r="A3" s="10" t="s">
        <v>0</v>
      </c>
      <c r="B3" s="10" t="s">
        <v>1</v>
      </c>
      <c r="C3" s="10" t="s">
        <v>2</v>
      </c>
      <c r="D3" s="10" t="s">
        <v>3</v>
      </c>
      <c r="E3" s="10" t="s">
        <v>84</v>
      </c>
      <c r="F3" s="10" t="s">
        <v>4</v>
      </c>
      <c r="G3" s="10" t="s">
        <v>85</v>
      </c>
      <c r="H3" s="10" t="s">
        <v>86</v>
      </c>
      <c r="I3" s="12" t="s">
        <v>92</v>
      </c>
    </row>
    <row r="4" spans="1:18" ht="15" thickTop="1" x14ac:dyDescent="0.35">
      <c r="A4" s="2">
        <v>44197</v>
      </c>
      <c r="B4" t="s">
        <v>17</v>
      </c>
      <c r="C4" t="s">
        <v>18</v>
      </c>
      <c r="D4" t="s">
        <v>19</v>
      </c>
      <c r="E4" t="s">
        <v>20</v>
      </c>
      <c r="F4" s="3">
        <v>6945.4</v>
      </c>
      <c r="G4" s="3">
        <v>15000</v>
      </c>
      <c r="H4" s="3" t="s">
        <v>88</v>
      </c>
      <c r="I4" t="s">
        <v>41</v>
      </c>
    </row>
    <row r="5" spans="1:18" x14ac:dyDescent="0.35">
      <c r="A5" s="2">
        <v>44197</v>
      </c>
      <c r="B5" t="s">
        <v>17</v>
      </c>
      <c r="C5" t="s">
        <v>18</v>
      </c>
      <c r="D5" t="s">
        <v>19</v>
      </c>
      <c r="E5" t="s">
        <v>20</v>
      </c>
      <c r="F5" s="3">
        <v>7658.2000000000007</v>
      </c>
      <c r="G5" s="3">
        <v>15000</v>
      </c>
      <c r="H5" s="3" t="s">
        <v>88</v>
      </c>
      <c r="I5" t="s">
        <v>41</v>
      </c>
    </row>
    <row r="6" spans="1:18" x14ac:dyDescent="0.35">
      <c r="A6" s="2">
        <v>44197</v>
      </c>
      <c r="B6" t="s">
        <v>42</v>
      </c>
      <c r="C6" t="s">
        <v>43</v>
      </c>
      <c r="D6" t="s">
        <v>44</v>
      </c>
      <c r="E6" t="s">
        <v>20</v>
      </c>
      <c r="F6" s="3">
        <v>7658.5999999999985</v>
      </c>
      <c r="G6" s="3">
        <v>15000</v>
      </c>
      <c r="H6" s="3" t="s">
        <v>88</v>
      </c>
      <c r="I6" t="s">
        <v>13</v>
      </c>
    </row>
    <row r="7" spans="1:18" x14ac:dyDescent="0.35">
      <c r="A7" s="2">
        <v>44197</v>
      </c>
      <c r="B7" t="s">
        <v>51</v>
      </c>
      <c r="C7" t="s">
        <v>52</v>
      </c>
      <c r="D7" t="s">
        <v>53</v>
      </c>
      <c r="E7" t="s">
        <v>20</v>
      </c>
      <c r="F7" s="3">
        <v>9098.6</v>
      </c>
      <c r="G7" s="3">
        <v>15000</v>
      </c>
      <c r="H7" s="3" t="s">
        <v>88</v>
      </c>
      <c r="I7" t="s">
        <v>41</v>
      </c>
    </row>
    <row r="8" spans="1:18" x14ac:dyDescent="0.35">
      <c r="A8" s="2">
        <v>44197</v>
      </c>
      <c r="B8" t="s">
        <v>17</v>
      </c>
      <c r="C8" t="s">
        <v>18</v>
      </c>
      <c r="D8" t="s">
        <v>19</v>
      </c>
      <c r="E8" t="s">
        <v>20</v>
      </c>
      <c r="F8" s="3">
        <v>10019.199999999999</v>
      </c>
      <c r="G8" s="3">
        <v>15000</v>
      </c>
      <c r="H8" s="3" t="s">
        <v>88</v>
      </c>
      <c r="I8" t="s">
        <v>41</v>
      </c>
    </row>
    <row r="9" spans="1:18" x14ac:dyDescent="0.35">
      <c r="A9" s="2">
        <v>44197</v>
      </c>
      <c r="B9" t="s">
        <v>42</v>
      </c>
      <c r="C9" t="s">
        <v>43</v>
      </c>
      <c r="D9" t="s">
        <v>44</v>
      </c>
      <c r="E9" t="s">
        <v>20</v>
      </c>
      <c r="F9" s="3">
        <v>10176</v>
      </c>
      <c r="G9" s="3">
        <v>15000</v>
      </c>
      <c r="H9" s="3" t="s">
        <v>88</v>
      </c>
      <c r="I9" t="s">
        <v>13</v>
      </c>
    </row>
    <row r="10" spans="1:18" x14ac:dyDescent="0.35">
      <c r="A10" s="2">
        <v>44197</v>
      </c>
      <c r="B10" t="s">
        <v>51</v>
      </c>
      <c r="C10" t="s">
        <v>52</v>
      </c>
      <c r="D10" t="s">
        <v>53</v>
      </c>
      <c r="E10" t="s">
        <v>20</v>
      </c>
      <c r="F10" s="3">
        <v>16385.600000000002</v>
      </c>
      <c r="G10" s="3">
        <v>15000</v>
      </c>
      <c r="H10" s="3">
        <v>1638.5600000000004</v>
      </c>
      <c r="I10" t="s">
        <v>9</v>
      </c>
    </row>
    <row r="11" spans="1:18" x14ac:dyDescent="0.35">
      <c r="A11" s="2">
        <v>44197</v>
      </c>
      <c r="B11" t="s">
        <v>42</v>
      </c>
      <c r="C11" t="s">
        <v>43</v>
      </c>
      <c r="D11" t="s">
        <v>44</v>
      </c>
      <c r="E11" t="s">
        <v>20</v>
      </c>
      <c r="F11" s="3">
        <v>19108</v>
      </c>
      <c r="G11" s="3">
        <v>15000</v>
      </c>
      <c r="H11" s="3">
        <v>1910.8000000000002</v>
      </c>
      <c r="I11" t="s">
        <v>13</v>
      </c>
    </row>
    <row r="12" spans="1:18" x14ac:dyDescent="0.35">
      <c r="A12" s="2">
        <v>44197</v>
      </c>
      <c r="B12" t="s">
        <v>17</v>
      </c>
      <c r="C12" t="s">
        <v>18</v>
      </c>
      <c r="D12" t="s">
        <v>19</v>
      </c>
      <c r="E12" t="s">
        <v>20</v>
      </c>
      <c r="F12" s="3">
        <v>19456</v>
      </c>
      <c r="G12" s="3">
        <v>15000</v>
      </c>
      <c r="H12" s="3">
        <v>1945.6000000000001</v>
      </c>
      <c r="I12" t="s">
        <v>9</v>
      </c>
    </row>
    <row r="13" spans="1:18" x14ac:dyDescent="0.35">
      <c r="A13" s="2">
        <v>44197</v>
      </c>
      <c r="B13" t="s">
        <v>63</v>
      </c>
      <c r="C13" t="s">
        <v>64</v>
      </c>
      <c r="D13" t="s">
        <v>65</v>
      </c>
      <c r="E13" t="s">
        <v>20</v>
      </c>
      <c r="F13" s="3">
        <v>31127.199999999997</v>
      </c>
      <c r="G13" s="3">
        <v>15000</v>
      </c>
      <c r="H13" s="3">
        <v>3112.72</v>
      </c>
      <c r="I13" t="s">
        <v>41</v>
      </c>
    </row>
    <row r="14" spans="1:18" x14ac:dyDescent="0.35">
      <c r="A14" s="2">
        <v>44197</v>
      </c>
      <c r="B14" t="s">
        <v>63</v>
      </c>
      <c r="C14" t="s">
        <v>64</v>
      </c>
      <c r="D14" t="s">
        <v>65</v>
      </c>
      <c r="E14" t="s">
        <v>20</v>
      </c>
      <c r="F14" s="3">
        <v>36372.1</v>
      </c>
      <c r="G14" s="3">
        <v>15000</v>
      </c>
      <c r="H14" s="3">
        <v>3637.21</v>
      </c>
      <c r="I14" t="s">
        <v>9</v>
      </c>
    </row>
    <row r="15" spans="1:18" x14ac:dyDescent="0.35">
      <c r="A15" s="2">
        <v>44197</v>
      </c>
      <c r="B15" t="s">
        <v>42</v>
      </c>
      <c r="C15" t="s">
        <v>43</v>
      </c>
      <c r="D15" t="s">
        <v>44</v>
      </c>
      <c r="E15" t="s">
        <v>20</v>
      </c>
      <c r="F15" s="3">
        <v>39186</v>
      </c>
      <c r="G15" s="3">
        <v>15000</v>
      </c>
      <c r="H15" s="3">
        <v>3918.6000000000004</v>
      </c>
      <c r="I15" t="s">
        <v>13</v>
      </c>
    </row>
    <row r="16" spans="1:18" x14ac:dyDescent="0.35">
      <c r="A16" s="2">
        <v>44197</v>
      </c>
      <c r="B16" t="s">
        <v>63</v>
      </c>
      <c r="C16" t="s">
        <v>64</v>
      </c>
      <c r="D16" t="s">
        <v>65</v>
      </c>
      <c r="E16" t="s">
        <v>20</v>
      </c>
      <c r="F16" s="3">
        <v>46715.999999999993</v>
      </c>
      <c r="G16" s="3">
        <v>15000</v>
      </c>
      <c r="H16" s="3">
        <v>4671.5999999999995</v>
      </c>
      <c r="I16" t="s">
        <v>9</v>
      </c>
    </row>
    <row r="17" spans="1:9" x14ac:dyDescent="0.35">
      <c r="A17" s="2">
        <v>44228</v>
      </c>
      <c r="B17" t="s">
        <v>17</v>
      </c>
      <c r="C17" t="s">
        <v>18</v>
      </c>
      <c r="D17" t="s">
        <v>19</v>
      </c>
      <c r="E17" t="s">
        <v>20</v>
      </c>
      <c r="F17" s="3">
        <v>4531</v>
      </c>
      <c r="G17" s="3">
        <v>15000</v>
      </c>
      <c r="H17" s="3" t="s">
        <v>88</v>
      </c>
      <c r="I17" t="s">
        <v>41</v>
      </c>
    </row>
    <row r="18" spans="1:9" x14ac:dyDescent="0.35">
      <c r="A18" s="2">
        <v>44228</v>
      </c>
      <c r="B18" t="s">
        <v>35</v>
      </c>
      <c r="C18" t="s">
        <v>36</v>
      </c>
      <c r="D18" t="s">
        <v>37</v>
      </c>
      <c r="E18" t="s">
        <v>20</v>
      </c>
      <c r="F18" s="3">
        <v>6751.7999999999993</v>
      </c>
      <c r="G18" s="3">
        <v>15000</v>
      </c>
      <c r="H18" s="3" t="s">
        <v>88</v>
      </c>
      <c r="I18" t="s">
        <v>13</v>
      </c>
    </row>
    <row r="19" spans="1:9" x14ac:dyDescent="0.35">
      <c r="A19" s="2">
        <v>44228</v>
      </c>
      <c r="B19" t="s">
        <v>17</v>
      </c>
      <c r="C19" t="s">
        <v>18</v>
      </c>
      <c r="D19" t="s">
        <v>19</v>
      </c>
      <c r="E19" t="s">
        <v>20</v>
      </c>
      <c r="F19" s="3">
        <v>7343.2000000000007</v>
      </c>
      <c r="G19" s="3">
        <v>15000</v>
      </c>
      <c r="H19" s="3" t="s">
        <v>88</v>
      </c>
      <c r="I19" t="s">
        <v>13</v>
      </c>
    </row>
    <row r="20" spans="1:9" x14ac:dyDescent="0.35">
      <c r="A20" s="2">
        <v>44228</v>
      </c>
      <c r="B20" t="s">
        <v>17</v>
      </c>
      <c r="C20" t="s">
        <v>18</v>
      </c>
      <c r="D20" t="s">
        <v>19</v>
      </c>
      <c r="E20" t="s">
        <v>20</v>
      </c>
      <c r="F20" s="3">
        <v>7356.5999999999995</v>
      </c>
      <c r="G20" s="3">
        <v>15000</v>
      </c>
      <c r="H20" s="3" t="s">
        <v>88</v>
      </c>
      <c r="I20" t="s">
        <v>9</v>
      </c>
    </row>
    <row r="21" spans="1:9" x14ac:dyDescent="0.35">
      <c r="A21" s="2">
        <v>44228</v>
      </c>
      <c r="B21" t="s">
        <v>35</v>
      </c>
      <c r="C21" t="s">
        <v>36</v>
      </c>
      <c r="D21" t="s">
        <v>37</v>
      </c>
      <c r="E21" t="s">
        <v>20</v>
      </c>
      <c r="F21" s="3">
        <v>17748</v>
      </c>
      <c r="G21" s="3">
        <v>15000</v>
      </c>
      <c r="H21" s="3">
        <v>1774.8000000000002</v>
      </c>
      <c r="I21" t="s">
        <v>9</v>
      </c>
    </row>
    <row r="22" spans="1:9" x14ac:dyDescent="0.35">
      <c r="A22" s="2">
        <v>44228</v>
      </c>
      <c r="B22" t="s">
        <v>17</v>
      </c>
      <c r="C22" t="s">
        <v>18</v>
      </c>
      <c r="D22" t="s">
        <v>19</v>
      </c>
      <c r="E22" t="s">
        <v>20</v>
      </c>
      <c r="F22" s="3">
        <v>28395.5</v>
      </c>
      <c r="G22" s="3">
        <v>15000</v>
      </c>
      <c r="H22" s="3">
        <v>2839.55</v>
      </c>
      <c r="I22" t="s">
        <v>41</v>
      </c>
    </row>
    <row r="23" spans="1:9" x14ac:dyDescent="0.35">
      <c r="A23" s="2">
        <v>44228</v>
      </c>
      <c r="B23" t="s">
        <v>42</v>
      </c>
      <c r="C23" t="s">
        <v>43</v>
      </c>
      <c r="D23" t="s">
        <v>44</v>
      </c>
      <c r="E23" t="s">
        <v>20</v>
      </c>
      <c r="F23" s="3">
        <v>41429.5</v>
      </c>
      <c r="G23" s="3">
        <v>15000</v>
      </c>
      <c r="H23" s="3">
        <v>4142.95</v>
      </c>
      <c r="I23" t="s">
        <v>13</v>
      </c>
    </row>
    <row r="24" spans="1:9" x14ac:dyDescent="0.35">
      <c r="A24" s="2">
        <v>44256</v>
      </c>
      <c r="B24" t="s">
        <v>63</v>
      </c>
      <c r="C24" t="s">
        <v>64</v>
      </c>
      <c r="D24" t="s">
        <v>65</v>
      </c>
      <c r="E24" t="s">
        <v>20</v>
      </c>
      <c r="F24" s="3">
        <v>6708.9</v>
      </c>
      <c r="G24" s="3">
        <v>15000</v>
      </c>
      <c r="H24" s="3" t="s">
        <v>88</v>
      </c>
      <c r="I24" t="s">
        <v>41</v>
      </c>
    </row>
    <row r="25" spans="1:9" x14ac:dyDescent="0.35">
      <c r="A25" s="2">
        <v>44256</v>
      </c>
      <c r="B25" t="s">
        <v>51</v>
      </c>
      <c r="C25" t="s">
        <v>52</v>
      </c>
      <c r="D25" t="s">
        <v>53</v>
      </c>
      <c r="E25" t="s">
        <v>20</v>
      </c>
      <c r="F25" s="3">
        <v>7982.7</v>
      </c>
      <c r="G25" s="3">
        <v>15000</v>
      </c>
      <c r="H25" s="3" t="s">
        <v>88</v>
      </c>
      <c r="I25" t="s">
        <v>41</v>
      </c>
    </row>
    <row r="26" spans="1:9" x14ac:dyDescent="0.35">
      <c r="A26" s="2">
        <v>44256</v>
      </c>
      <c r="B26" t="s">
        <v>42</v>
      </c>
      <c r="C26" t="s">
        <v>43</v>
      </c>
      <c r="D26" t="s">
        <v>44</v>
      </c>
      <c r="E26" t="s">
        <v>20</v>
      </c>
      <c r="F26" s="3">
        <v>8694</v>
      </c>
      <c r="G26" s="3">
        <v>15000</v>
      </c>
      <c r="H26" s="3" t="s">
        <v>88</v>
      </c>
      <c r="I26" t="s">
        <v>9</v>
      </c>
    </row>
    <row r="27" spans="1:9" x14ac:dyDescent="0.35">
      <c r="A27" s="2">
        <v>44256</v>
      </c>
      <c r="B27" t="s">
        <v>42</v>
      </c>
      <c r="C27" t="s">
        <v>43</v>
      </c>
      <c r="D27" t="s">
        <v>44</v>
      </c>
      <c r="E27" t="s">
        <v>20</v>
      </c>
      <c r="F27" s="3">
        <v>9116</v>
      </c>
      <c r="G27" s="3">
        <v>15000</v>
      </c>
      <c r="H27" s="3" t="s">
        <v>88</v>
      </c>
      <c r="I27" t="s">
        <v>9</v>
      </c>
    </row>
    <row r="28" spans="1:9" x14ac:dyDescent="0.35">
      <c r="A28" s="2">
        <v>44256</v>
      </c>
      <c r="B28" t="s">
        <v>51</v>
      </c>
      <c r="C28" t="s">
        <v>52</v>
      </c>
      <c r="D28" t="s">
        <v>53</v>
      </c>
      <c r="E28" t="s">
        <v>20</v>
      </c>
      <c r="F28" s="3">
        <v>10110.299999999999</v>
      </c>
      <c r="G28" s="3">
        <v>15000</v>
      </c>
      <c r="H28" s="3" t="s">
        <v>88</v>
      </c>
      <c r="I28" t="s">
        <v>9</v>
      </c>
    </row>
    <row r="29" spans="1:9" x14ac:dyDescent="0.35">
      <c r="A29" s="2">
        <v>44256</v>
      </c>
      <c r="B29" t="s">
        <v>17</v>
      </c>
      <c r="C29" t="s">
        <v>18</v>
      </c>
      <c r="D29" t="s">
        <v>19</v>
      </c>
      <c r="E29" t="s">
        <v>20</v>
      </c>
      <c r="F29" s="3">
        <v>10451.199999999999</v>
      </c>
      <c r="G29" s="3">
        <v>15000</v>
      </c>
      <c r="H29" s="3" t="s">
        <v>88</v>
      </c>
      <c r="I29" t="s">
        <v>9</v>
      </c>
    </row>
    <row r="30" spans="1:9" x14ac:dyDescent="0.35">
      <c r="A30" s="2">
        <v>44256</v>
      </c>
      <c r="B30" t="s">
        <v>17</v>
      </c>
      <c r="C30" t="s">
        <v>18</v>
      </c>
      <c r="D30" t="s">
        <v>19</v>
      </c>
      <c r="E30" t="s">
        <v>20</v>
      </c>
      <c r="F30" s="3">
        <v>11580.4</v>
      </c>
      <c r="G30" s="3">
        <v>15000</v>
      </c>
      <c r="H30" s="3" t="s">
        <v>88</v>
      </c>
      <c r="I30" t="s">
        <v>13</v>
      </c>
    </row>
    <row r="31" spans="1:9" x14ac:dyDescent="0.35">
      <c r="A31" s="2">
        <v>44256</v>
      </c>
      <c r="B31" t="s">
        <v>42</v>
      </c>
      <c r="C31" t="s">
        <v>43</v>
      </c>
      <c r="D31" t="s">
        <v>44</v>
      </c>
      <c r="E31" t="s">
        <v>20</v>
      </c>
      <c r="F31" s="3">
        <v>14329.5</v>
      </c>
      <c r="G31" s="3">
        <v>15000</v>
      </c>
      <c r="H31" s="3" t="s">
        <v>88</v>
      </c>
      <c r="I31" t="s">
        <v>9</v>
      </c>
    </row>
    <row r="32" spans="1:9" x14ac:dyDescent="0.35">
      <c r="A32" s="2">
        <v>44256</v>
      </c>
      <c r="B32" t="s">
        <v>42</v>
      </c>
      <c r="C32" t="s">
        <v>43</v>
      </c>
      <c r="D32" t="s">
        <v>44</v>
      </c>
      <c r="E32" t="s">
        <v>20</v>
      </c>
      <c r="F32" s="3">
        <v>20128</v>
      </c>
      <c r="G32" s="3">
        <v>15000</v>
      </c>
      <c r="H32" s="3">
        <v>2012.8000000000002</v>
      </c>
      <c r="I32" t="s">
        <v>41</v>
      </c>
    </row>
    <row r="33" spans="1:9" x14ac:dyDescent="0.35">
      <c r="A33" s="2">
        <v>44256</v>
      </c>
      <c r="B33" t="s">
        <v>63</v>
      </c>
      <c r="C33" t="s">
        <v>64</v>
      </c>
      <c r="D33" t="s">
        <v>65</v>
      </c>
      <c r="E33" t="s">
        <v>20</v>
      </c>
      <c r="F33" s="3">
        <v>21167.999999999996</v>
      </c>
      <c r="G33" s="3">
        <v>15000</v>
      </c>
      <c r="H33" s="3">
        <v>2116.7999999999997</v>
      </c>
      <c r="I33" t="s">
        <v>9</v>
      </c>
    </row>
    <row r="34" spans="1:9" x14ac:dyDescent="0.35">
      <c r="A34" s="2">
        <v>44256</v>
      </c>
      <c r="B34" t="s">
        <v>35</v>
      </c>
      <c r="C34" t="s">
        <v>36</v>
      </c>
      <c r="D34" t="s">
        <v>37</v>
      </c>
      <c r="E34" t="s">
        <v>20</v>
      </c>
      <c r="F34" s="3">
        <v>25102.399999999998</v>
      </c>
      <c r="G34" s="3">
        <v>15000</v>
      </c>
      <c r="H34" s="3">
        <v>2510.2399999999998</v>
      </c>
      <c r="I34" t="s">
        <v>13</v>
      </c>
    </row>
    <row r="35" spans="1:9" x14ac:dyDescent="0.35">
      <c r="A35" s="2">
        <v>44256</v>
      </c>
      <c r="B35" t="s">
        <v>35</v>
      </c>
      <c r="C35" t="s">
        <v>36</v>
      </c>
      <c r="D35" t="s">
        <v>37</v>
      </c>
      <c r="E35" t="s">
        <v>20</v>
      </c>
      <c r="F35" s="3">
        <v>27670.9</v>
      </c>
      <c r="G35" s="3">
        <v>15000</v>
      </c>
      <c r="H35" s="3">
        <v>2767.09</v>
      </c>
      <c r="I35" t="s">
        <v>41</v>
      </c>
    </row>
    <row r="36" spans="1:9" x14ac:dyDescent="0.35">
      <c r="A36" s="2">
        <v>44256</v>
      </c>
      <c r="B36" t="s">
        <v>35</v>
      </c>
      <c r="C36" t="s">
        <v>36</v>
      </c>
      <c r="D36" t="s">
        <v>37</v>
      </c>
      <c r="E36" t="s">
        <v>20</v>
      </c>
      <c r="F36" s="3">
        <v>27956.799999999999</v>
      </c>
      <c r="G36" s="3">
        <v>15000</v>
      </c>
      <c r="H36" s="3">
        <v>2795.6800000000003</v>
      </c>
      <c r="I36" t="s">
        <v>13</v>
      </c>
    </row>
    <row r="37" spans="1:9" x14ac:dyDescent="0.35">
      <c r="A37" s="2">
        <v>44256</v>
      </c>
      <c r="B37" t="s">
        <v>42</v>
      </c>
      <c r="C37" t="s">
        <v>43</v>
      </c>
      <c r="D37" t="s">
        <v>44</v>
      </c>
      <c r="E37" t="s">
        <v>20</v>
      </c>
      <c r="F37" s="3">
        <v>31407</v>
      </c>
      <c r="G37" s="3">
        <v>15000</v>
      </c>
      <c r="H37" s="3">
        <v>3140.7000000000003</v>
      </c>
      <c r="I37" t="s">
        <v>13</v>
      </c>
    </row>
    <row r="38" spans="1:9" x14ac:dyDescent="0.35">
      <c r="A38" s="2">
        <v>44256</v>
      </c>
      <c r="B38" t="s">
        <v>51</v>
      </c>
      <c r="C38" t="s">
        <v>52</v>
      </c>
      <c r="D38" t="s">
        <v>53</v>
      </c>
      <c r="E38" t="s">
        <v>20</v>
      </c>
      <c r="F38" s="3">
        <v>35647.5</v>
      </c>
      <c r="G38" s="3">
        <v>15000</v>
      </c>
      <c r="H38" s="3">
        <v>3564.75</v>
      </c>
      <c r="I38" t="s">
        <v>41</v>
      </c>
    </row>
    <row r="39" spans="1:9" x14ac:dyDescent="0.35">
      <c r="A39" s="2">
        <v>44256</v>
      </c>
      <c r="B39" t="s">
        <v>51</v>
      </c>
      <c r="C39" t="s">
        <v>52</v>
      </c>
      <c r="D39" t="s">
        <v>53</v>
      </c>
      <c r="E39" t="s">
        <v>20</v>
      </c>
      <c r="F39" s="3">
        <v>36907.200000000004</v>
      </c>
      <c r="G39" s="3">
        <v>15000</v>
      </c>
      <c r="H39" s="3">
        <v>3690.7200000000007</v>
      </c>
      <c r="I39" t="s">
        <v>13</v>
      </c>
    </row>
    <row r="40" spans="1:9" x14ac:dyDescent="0.35">
      <c r="A40" s="2">
        <v>44287</v>
      </c>
      <c r="B40" t="s">
        <v>51</v>
      </c>
      <c r="C40" t="s">
        <v>52</v>
      </c>
      <c r="D40" t="s">
        <v>53</v>
      </c>
      <c r="E40" t="s">
        <v>20</v>
      </c>
      <c r="F40" s="3">
        <v>5696.4</v>
      </c>
      <c r="G40" s="3">
        <v>15000</v>
      </c>
      <c r="H40" s="3" t="s">
        <v>88</v>
      </c>
      <c r="I40" t="s">
        <v>9</v>
      </c>
    </row>
    <row r="41" spans="1:9" x14ac:dyDescent="0.35">
      <c r="A41" s="2">
        <v>44287</v>
      </c>
      <c r="B41" t="s">
        <v>17</v>
      </c>
      <c r="C41" t="s">
        <v>18</v>
      </c>
      <c r="D41" t="s">
        <v>19</v>
      </c>
      <c r="E41" t="s">
        <v>20</v>
      </c>
      <c r="F41" s="3">
        <v>11716.5</v>
      </c>
      <c r="G41" s="3">
        <v>15000</v>
      </c>
      <c r="H41" s="3" t="s">
        <v>88</v>
      </c>
      <c r="I41" t="s">
        <v>9</v>
      </c>
    </row>
    <row r="42" spans="1:9" x14ac:dyDescent="0.35">
      <c r="A42" s="2">
        <v>44287</v>
      </c>
      <c r="B42" t="s">
        <v>63</v>
      </c>
      <c r="C42" t="s">
        <v>64</v>
      </c>
      <c r="D42" t="s">
        <v>65</v>
      </c>
      <c r="E42" t="s">
        <v>20</v>
      </c>
      <c r="F42" s="3">
        <v>14416</v>
      </c>
      <c r="G42" s="3">
        <v>15000</v>
      </c>
      <c r="H42" s="3" t="s">
        <v>88</v>
      </c>
      <c r="I42" t="s">
        <v>41</v>
      </c>
    </row>
    <row r="43" spans="1:9" x14ac:dyDescent="0.35">
      <c r="A43" s="2">
        <v>44287</v>
      </c>
      <c r="B43" t="s">
        <v>17</v>
      </c>
      <c r="C43" t="s">
        <v>18</v>
      </c>
      <c r="D43" t="s">
        <v>19</v>
      </c>
      <c r="E43" t="s">
        <v>20</v>
      </c>
      <c r="F43" s="3">
        <v>16499.400000000001</v>
      </c>
      <c r="G43" s="3">
        <v>15000</v>
      </c>
      <c r="H43" s="3">
        <v>1649.9400000000003</v>
      </c>
      <c r="I43" t="s">
        <v>13</v>
      </c>
    </row>
    <row r="44" spans="1:9" x14ac:dyDescent="0.35">
      <c r="A44" s="2">
        <v>44287</v>
      </c>
      <c r="B44" t="s">
        <v>51</v>
      </c>
      <c r="C44" t="s">
        <v>52</v>
      </c>
      <c r="D44" t="s">
        <v>53</v>
      </c>
      <c r="E44" t="s">
        <v>20</v>
      </c>
      <c r="F44" s="3">
        <v>16968</v>
      </c>
      <c r="G44" s="3">
        <v>15000</v>
      </c>
      <c r="H44" s="3">
        <v>1696.8000000000002</v>
      </c>
      <c r="I44" t="s">
        <v>41</v>
      </c>
    </row>
    <row r="45" spans="1:9" x14ac:dyDescent="0.35">
      <c r="A45" s="2">
        <v>44287</v>
      </c>
      <c r="B45" t="s">
        <v>42</v>
      </c>
      <c r="C45" t="s">
        <v>43</v>
      </c>
      <c r="D45" t="s">
        <v>44</v>
      </c>
      <c r="E45" t="s">
        <v>20</v>
      </c>
      <c r="F45" s="3">
        <v>17993.5</v>
      </c>
      <c r="G45" s="3">
        <v>15000</v>
      </c>
      <c r="H45" s="3">
        <v>1799.3500000000001</v>
      </c>
      <c r="I45" t="s">
        <v>9</v>
      </c>
    </row>
    <row r="46" spans="1:9" x14ac:dyDescent="0.35">
      <c r="A46" s="2">
        <v>44287</v>
      </c>
      <c r="B46" t="s">
        <v>51</v>
      </c>
      <c r="C46" t="s">
        <v>52</v>
      </c>
      <c r="D46" t="s">
        <v>53</v>
      </c>
      <c r="E46" t="s">
        <v>20</v>
      </c>
      <c r="F46" s="3">
        <v>18188.399999999998</v>
      </c>
      <c r="G46" s="3">
        <v>15000</v>
      </c>
      <c r="H46" s="3">
        <v>1818.84</v>
      </c>
      <c r="I46" t="s">
        <v>13</v>
      </c>
    </row>
    <row r="47" spans="1:9" x14ac:dyDescent="0.35">
      <c r="A47" s="2">
        <v>44317</v>
      </c>
      <c r="B47" t="s">
        <v>63</v>
      </c>
      <c r="C47" t="s">
        <v>64</v>
      </c>
      <c r="D47" t="s">
        <v>65</v>
      </c>
      <c r="E47" t="s">
        <v>20</v>
      </c>
      <c r="F47" s="3">
        <v>9004.7999999999993</v>
      </c>
      <c r="G47" s="3">
        <v>15000</v>
      </c>
      <c r="H47" s="3" t="s">
        <v>88</v>
      </c>
      <c r="I47" t="s">
        <v>9</v>
      </c>
    </row>
    <row r="48" spans="1:9" x14ac:dyDescent="0.35">
      <c r="A48" s="2">
        <v>44317</v>
      </c>
      <c r="B48" t="s">
        <v>51</v>
      </c>
      <c r="C48" t="s">
        <v>52</v>
      </c>
      <c r="D48" t="s">
        <v>53</v>
      </c>
      <c r="E48" t="s">
        <v>20</v>
      </c>
      <c r="F48" s="3">
        <v>18826.400000000001</v>
      </c>
      <c r="G48" s="3">
        <v>15000</v>
      </c>
      <c r="H48" s="3">
        <v>1882.6400000000003</v>
      </c>
      <c r="I48" t="s">
        <v>41</v>
      </c>
    </row>
    <row r="49" spans="1:9" x14ac:dyDescent="0.35">
      <c r="A49" s="2">
        <v>44317</v>
      </c>
      <c r="B49" t="s">
        <v>51</v>
      </c>
      <c r="C49" t="s">
        <v>52</v>
      </c>
      <c r="D49" t="s">
        <v>53</v>
      </c>
      <c r="E49" t="s">
        <v>20</v>
      </c>
      <c r="F49" s="3">
        <v>19617.5</v>
      </c>
      <c r="G49" s="3">
        <v>15000</v>
      </c>
      <c r="H49" s="3">
        <v>1961.75</v>
      </c>
      <c r="I49" t="s">
        <v>41</v>
      </c>
    </row>
    <row r="50" spans="1:9" x14ac:dyDescent="0.35">
      <c r="A50" s="2">
        <v>44317</v>
      </c>
      <c r="B50" t="s">
        <v>51</v>
      </c>
      <c r="C50" t="s">
        <v>52</v>
      </c>
      <c r="D50" t="s">
        <v>53</v>
      </c>
      <c r="E50" t="s">
        <v>20</v>
      </c>
      <c r="F50" s="3">
        <v>19836.400000000001</v>
      </c>
      <c r="G50" s="3">
        <v>15000</v>
      </c>
      <c r="H50" s="3">
        <v>1983.6400000000003</v>
      </c>
      <c r="I50" t="s">
        <v>9</v>
      </c>
    </row>
    <row r="51" spans="1:9" x14ac:dyDescent="0.35">
      <c r="A51" s="2">
        <v>44317</v>
      </c>
      <c r="B51" t="s">
        <v>42</v>
      </c>
      <c r="C51" t="s">
        <v>43</v>
      </c>
      <c r="D51" t="s">
        <v>44</v>
      </c>
      <c r="E51" t="s">
        <v>20</v>
      </c>
      <c r="F51" s="3">
        <v>20717.599999999999</v>
      </c>
      <c r="G51" s="3">
        <v>15000</v>
      </c>
      <c r="H51" s="3">
        <v>2071.7599999999998</v>
      </c>
      <c r="I51" t="s">
        <v>13</v>
      </c>
    </row>
    <row r="52" spans="1:9" x14ac:dyDescent="0.35">
      <c r="A52" s="2">
        <v>44317</v>
      </c>
      <c r="B52" t="s">
        <v>35</v>
      </c>
      <c r="C52" t="s">
        <v>36</v>
      </c>
      <c r="D52" t="s">
        <v>37</v>
      </c>
      <c r="E52" t="s">
        <v>20</v>
      </c>
      <c r="F52" s="3">
        <v>23364</v>
      </c>
      <c r="G52" s="3">
        <v>15000</v>
      </c>
      <c r="H52" s="3">
        <v>2336.4</v>
      </c>
      <c r="I52" t="s">
        <v>13</v>
      </c>
    </row>
    <row r="53" spans="1:9" x14ac:dyDescent="0.35">
      <c r="A53" s="2">
        <v>44317</v>
      </c>
      <c r="B53" t="s">
        <v>51</v>
      </c>
      <c r="C53" t="s">
        <v>52</v>
      </c>
      <c r="D53" t="s">
        <v>53</v>
      </c>
      <c r="E53" t="s">
        <v>20</v>
      </c>
      <c r="F53" s="3">
        <v>23997.600000000002</v>
      </c>
      <c r="G53" s="3">
        <v>15000</v>
      </c>
      <c r="H53" s="3">
        <v>2399.7600000000002</v>
      </c>
      <c r="I53" t="s">
        <v>9</v>
      </c>
    </row>
    <row r="54" spans="1:9" x14ac:dyDescent="0.35">
      <c r="A54" s="2">
        <v>44317</v>
      </c>
      <c r="B54" t="s">
        <v>63</v>
      </c>
      <c r="C54" t="s">
        <v>64</v>
      </c>
      <c r="D54" t="s">
        <v>65</v>
      </c>
      <c r="E54" t="s">
        <v>20</v>
      </c>
      <c r="F54" s="3">
        <v>27916.399999999998</v>
      </c>
      <c r="G54" s="3">
        <v>15000</v>
      </c>
      <c r="H54" s="3">
        <v>2791.64</v>
      </c>
      <c r="I54" t="s">
        <v>41</v>
      </c>
    </row>
    <row r="55" spans="1:9" x14ac:dyDescent="0.35">
      <c r="A55" s="2">
        <v>44317</v>
      </c>
      <c r="B55" t="s">
        <v>63</v>
      </c>
      <c r="C55" t="s">
        <v>64</v>
      </c>
      <c r="D55" t="s">
        <v>65</v>
      </c>
      <c r="E55" t="s">
        <v>20</v>
      </c>
      <c r="F55" s="3">
        <v>42249.1</v>
      </c>
      <c r="G55" s="3">
        <v>15000</v>
      </c>
      <c r="H55" s="3">
        <v>4224.91</v>
      </c>
      <c r="I55" t="s">
        <v>13</v>
      </c>
    </row>
    <row r="56" spans="1:9" x14ac:dyDescent="0.35">
      <c r="A56" s="2">
        <v>44348</v>
      </c>
      <c r="B56" t="s">
        <v>42</v>
      </c>
      <c r="C56" t="s">
        <v>43</v>
      </c>
      <c r="D56" t="s">
        <v>44</v>
      </c>
      <c r="E56" t="s">
        <v>20</v>
      </c>
      <c r="F56" s="3">
        <v>9574.7999999999993</v>
      </c>
      <c r="G56" s="3">
        <v>15000</v>
      </c>
      <c r="H56" s="3" t="s">
        <v>88</v>
      </c>
      <c r="I56" t="s">
        <v>13</v>
      </c>
    </row>
    <row r="57" spans="1:9" x14ac:dyDescent="0.35">
      <c r="A57" s="2">
        <v>44348</v>
      </c>
      <c r="B57" t="s">
        <v>42</v>
      </c>
      <c r="C57" t="s">
        <v>43</v>
      </c>
      <c r="D57" t="s">
        <v>44</v>
      </c>
      <c r="E57" t="s">
        <v>20</v>
      </c>
      <c r="F57" s="3">
        <v>14301.6</v>
      </c>
      <c r="G57" s="3">
        <v>15000</v>
      </c>
      <c r="H57" s="3" t="s">
        <v>88</v>
      </c>
      <c r="I57" t="s">
        <v>13</v>
      </c>
    </row>
    <row r="58" spans="1:9" x14ac:dyDescent="0.35">
      <c r="A58" s="2">
        <v>44348</v>
      </c>
      <c r="B58" t="s">
        <v>35</v>
      </c>
      <c r="C58" t="s">
        <v>36</v>
      </c>
      <c r="D58" t="s">
        <v>37</v>
      </c>
      <c r="E58" t="s">
        <v>20</v>
      </c>
      <c r="F58" s="3">
        <v>15061.2</v>
      </c>
      <c r="G58" s="3">
        <v>15000</v>
      </c>
      <c r="H58" s="3">
        <v>1506.1200000000001</v>
      </c>
      <c r="I58" t="s">
        <v>13</v>
      </c>
    </row>
    <row r="59" spans="1:9" x14ac:dyDescent="0.35">
      <c r="A59" s="2">
        <v>44348</v>
      </c>
      <c r="B59" t="s">
        <v>51</v>
      </c>
      <c r="C59" t="s">
        <v>52</v>
      </c>
      <c r="D59" t="s">
        <v>53</v>
      </c>
      <c r="E59" t="s">
        <v>20</v>
      </c>
      <c r="F59" s="3">
        <v>17262</v>
      </c>
      <c r="G59" s="3">
        <v>15000</v>
      </c>
      <c r="H59" s="3">
        <v>1726.2</v>
      </c>
      <c r="I59" t="s">
        <v>13</v>
      </c>
    </row>
    <row r="60" spans="1:9" x14ac:dyDescent="0.35">
      <c r="A60" s="2">
        <v>44348</v>
      </c>
      <c r="B60" t="s">
        <v>63</v>
      </c>
      <c r="C60" t="s">
        <v>64</v>
      </c>
      <c r="D60" t="s">
        <v>65</v>
      </c>
      <c r="E60" t="s">
        <v>20</v>
      </c>
      <c r="F60" s="3">
        <v>37192.5</v>
      </c>
      <c r="G60" s="3">
        <v>15000</v>
      </c>
      <c r="H60" s="3">
        <v>3719.25</v>
      </c>
      <c r="I60" t="s">
        <v>41</v>
      </c>
    </row>
    <row r="61" spans="1:9" x14ac:dyDescent="0.35">
      <c r="A61" s="2">
        <v>44348</v>
      </c>
      <c r="B61" t="s">
        <v>35</v>
      </c>
      <c r="C61" t="s">
        <v>36</v>
      </c>
      <c r="D61" t="s">
        <v>37</v>
      </c>
      <c r="E61" t="s">
        <v>20</v>
      </c>
      <c r="F61" s="3">
        <v>39653.9</v>
      </c>
      <c r="G61" s="3">
        <v>15000</v>
      </c>
      <c r="H61" s="3">
        <v>3965.3900000000003</v>
      </c>
      <c r="I61" t="s">
        <v>41</v>
      </c>
    </row>
    <row r="62" spans="1:9" x14ac:dyDescent="0.35">
      <c r="A62" s="2">
        <v>44378</v>
      </c>
      <c r="B62" t="s">
        <v>35</v>
      </c>
      <c r="C62" t="s">
        <v>36</v>
      </c>
      <c r="D62" t="s">
        <v>37</v>
      </c>
      <c r="E62" t="s">
        <v>20</v>
      </c>
      <c r="F62" s="3">
        <v>3465</v>
      </c>
      <c r="G62" s="3">
        <v>15000</v>
      </c>
      <c r="H62" s="3" t="s">
        <v>88</v>
      </c>
      <c r="I62" t="s">
        <v>13</v>
      </c>
    </row>
    <row r="63" spans="1:9" x14ac:dyDescent="0.35">
      <c r="A63" s="2">
        <v>44378</v>
      </c>
      <c r="B63" t="s">
        <v>51</v>
      </c>
      <c r="C63" t="s">
        <v>52</v>
      </c>
      <c r="D63" t="s">
        <v>53</v>
      </c>
      <c r="E63" t="s">
        <v>20</v>
      </c>
      <c r="F63" s="3">
        <v>5332.7999999999993</v>
      </c>
      <c r="G63" s="3">
        <v>15000</v>
      </c>
      <c r="H63" s="3" t="s">
        <v>88</v>
      </c>
      <c r="I63" t="s">
        <v>13</v>
      </c>
    </row>
    <row r="64" spans="1:9" x14ac:dyDescent="0.35">
      <c r="A64" s="2">
        <v>44378</v>
      </c>
      <c r="B64" t="s">
        <v>42</v>
      </c>
      <c r="C64" t="s">
        <v>43</v>
      </c>
      <c r="D64" t="s">
        <v>44</v>
      </c>
      <c r="E64" t="s">
        <v>20</v>
      </c>
      <c r="F64" s="3">
        <v>8065.5999999999995</v>
      </c>
      <c r="G64" s="3">
        <v>15000</v>
      </c>
      <c r="H64" s="3" t="s">
        <v>88</v>
      </c>
      <c r="I64" t="s">
        <v>41</v>
      </c>
    </row>
    <row r="65" spans="1:9" x14ac:dyDescent="0.35">
      <c r="A65" s="2">
        <v>44378</v>
      </c>
      <c r="B65" t="s">
        <v>42</v>
      </c>
      <c r="C65" t="s">
        <v>43</v>
      </c>
      <c r="D65" t="s">
        <v>44</v>
      </c>
      <c r="E65" t="s">
        <v>20</v>
      </c>
      <c r="F65" s="3">
        <v>10067.200000000001</v>
      </c>
      <c r="G65" s="3">
        <v>15000</v>
      </c>
      <c r="H65" s="3" t="s">
        <v>88</v>
      </c>
      <c r="I65" t="s">
        <v>41</v>
      </c>
    </row>
    <row r="66" spans="1:9" x14ac:dyDescent="0.35">
      <c r="A66" s="2">
        <v>44378</v>
      </c>
      <c r="B66" t="s">
        <v>42</v>
      </c>
      <c r="C66" t="s">
        <v>43</v>
      </c>
      <c r="D66" t="s">
        <v>44</v>
      </c>
      <c r="E66" t="s">
        <v>20</v>
      </c>
      <c r="F66" s="3">
        <v>10648.999999999998</v>
      </c>
      <c r="G66" s="3">
        <v>15000</v>
      </c>
      <c r="H66" s="3" t="s">
        <v>88</v>
      </c>
      <c r="I66" t="s">
        <v>41</v>
      </c>
    </row>
    <row r="67" spans="1:9" x14ac:dyDescent="0.35">
      <c r="A67" s="2">
        <v>44378</v>
      </c>
      <c r="B67" t="s">
        <v>51</v>
      </c>
      <c r="C67" t="s">
        <v>52</v>
      </c>
      <c r="D67" t="s">
        <v>53</v>
      </c>
      <c r="E67" t="s">
        <v>20</v>
      </c>
      <c r="F67" s="3">
        <v>10679.400000000001</v>
      </c>
      <c r="G67" s="3">
        <v>15000</v>
      </c>
      <c r="H67" s="3" t="s">
        <v>88</v>
      </c>
      <c r="I67" t="s">
        <v>41</v>
      </c>
    </row>
    <row r="68" spans="1:9" x14ac:dyDescent="0.35">
      <c r="A68" s="2">
        <v>44378</v>
      </c>
      <c r="B68" t="s">
        <v>63</v>
      </c>
      <c r="C68" t="s">
        <v>64</v>
      </c>
      <c r="D68" t="s">
        <v>65</v>
      </c>
      <c r="E68" t="s">
        <v>20</v>
      </c>
      <c r="F68" s="3">
        <v>11155.5</v>
      </c>
      <c r="G68" s="3">
        <v>15000</v>
      </c>
      <c r="H68" s="3" t="s">
        <v>88</v>
      </c>
      <c r="I68" t="s">
        <v>9</v>
      </c>
    </row>
    <row r="69" spans="1:9" x14ac:dyDescent="0.35">
      <c r="A69" s="2">
        <v>44378</v>
      </c>
      <c r="B69" t="s">
        <v>42</v>
      </c>
      <c r="C69" t="s">
        <v>43</v>
      </c>
      <c r="D69" t="s">
        <v>44</v>
      </c>
      <c r="E69" t="s">
        <v>20</v>
      </c>
      <c r="F69" s="3">
        <v>11543</v>
      </c>
      <c r="G69" s="3">
        <v>15000</v>
      </c>
      <c r="H69" s="3" t="s">
        <v>88</v>
      </c>
      <c r="I69" t="s">
        <v>9</v>
      </c>
    </row>
    <row r="70" spans="1:9" x14ac:dyDescent="0.35">
      <c r="A70" s="2">
        <v>44378</v>
      </c>
      <c r="B70" t="s">
        <v>42</v>
      </c>
      <c r="C70" t="s">
        <v>43</v>
      </c>
      <c r="D70" t="s">
        <v>44</v>
      </c>
      <c r="E70" t="s">
        <v>20</v>
      </c>
      <c r="F70" s="3">
        <v>15633.199999999999</v>
      </c>
      <c r="G70" s="3">
        <v>15000</v>
      </c>
      <c r="H70" s="3">
        <v>1563.32</v>
      </c>
      <c r="I70" t="s">
        <v>13</v>
      </c>
    </row>
    <row r="71" spans="1:9" x14ac:dyDescent="0.35">
      <c r="A71" s="2">
        <v>44378</v>
      </c>
      <c r="B71" t="s">
        <v>42</v>
      </c>
      <c r="C71" t="s">
        <v>43</v>
      </c>
      <c r="D71" t="s">
        <v>44</v>
      </c>
      <c r="E71" t="s">
        <v>20</v>
      </c>
      <c r="F71" s="3">
        <v>20868.399999999998</v>
      </c>
      <c r="G71" s="3">
        <v>15000</v>
      </c>
      <c r="H71" s="3">
        <v>2086.8399999999997</v>
      </c>
      <c r="I71" t="s">
        <v>13</v>
      </c>
    </row>
    <row r="72" spans="1:9" x14ac:dyDescent="0.35">
      <c r="A72" s="2">
        <v>44378</v>
      </c>
      <c r="B72" t="s">
        <v>42</v>
      </c>
      <c r="C72" t="s">
        <v>43</v>
      </c>
      <c r="D72" t="s">
        <v>44</v>
      </c>
      <c r="E72" t="s">
        <v>20</v>
      </c>
      <c r="F72" s="3">
        <v>24395.100000000002</v>
      </c>
      <c r="G72" s="3">
        <v>15000</v>
      </c>
      <c r="H72" s="3">
        <v>2439.5100000000002</v>
      </c>
      <c r="I72" t="s">
        <v>9</v>
      </c>
    </row>
    <row r="73" spans="1:9" x14ac:dyDescent="0.35">
      <c r="A73" s="2">
        <v>44409</v>
      </c>
      <c r="B73" t="s">
        <v>42</v>
      </c>
      <c r="C73" t="s">
        <v>43</v>
      </c>
      <c r="D73" t="s">
        <v>44</v>
      </c>
      <c r="E73" t="s">
        <v>20</v>
      </c>
      <c r="F73" s="3">
        <v>3760.5</v>
      </c>
      <c r="G73" s="3">
        <v>15000</v>
      </c>
      <c r="H73" s="3" t="s">
        <v>88</v>
      </c>
      <c r="I73" t="s">
        <v>9</v>
      </c>
    </row>
    <row r="74" spans="1:9" x14ac:dyDescent="0.35">
      <c r="A74" s="2">
        <v>44409</v>
      </c>
      <c r="B74" t="s">
        <v>42</v>
      </c>
      <c r="C74" t="s">
        <v>43</v>
      </c>
      <c r="D74" t="s">
        <v>44</v>
      </c>
      <c r="E74" t="s">
        <v>20</v>
      </c>
      <c r="F74" s="3">
        <v>4322.8</v>
      </c>
      <c r="G74" s="3">
        <v>15000</v>
      </c>
      <c r="H74" s="3" t="s">
        <v>88</v>
      </c>
      <c r="I74" t="s">
        <v>41</v>
      </c>
    </row>
    <row r="75" spans="1:9" x14ac:dyDescent="0.35">
      <c r="A75" s="2">
        <v>44409</v>
      </c>
      <c r="B75" t="s">
        <v>42</v>
      </c>
      <c r="C75" t="s">
        <v>43</v>
      </c>
      <c r="D75" t="s">
        <v>44</v>
      </c>
      <c r="E75" t="s">
        <v>20</v>
      </c>
      <c r="F75" s="3">
        <v>9697.6</v>
      </c>
      <c r="G75" s="3">
        <v>15000</v>
      </c>
      <c r="H75" s="3" t="s">
        <v>88</v>
      </c>
      <c r="I75" t="s">
        <v>13</v>
      </c>
    </row>
    <row r="76" spans="1:9" x14ac:dyDescent="0.35">
      <c r="A76" s="2">
        <v>44409</v>
      </c>
      <c r="B76" t="s">
        <v>42</v>
      </c>
      <c r="C76" t="s">
        <v>43</v>
      </c>
      <c r="D76" t="s">
        <v>44</v>
      </c>
      <c r="E76" t="s">
        <v>20</v>
      </c>
      <c r="F76" s="3">
        <v>10391.699999999999</v>
      </c>
      <c r="G76" s="3">
        <v>15000</v>
      </c>
      <c r="H76" s="3" t="s">
        <v>88</v>
      </c>
      <c r="I76" t="s">
        <v>41</v>
      </c>
    </row>
    <row r="77" spans="1:9" x14ac:dyDescent="0.35">
      <c r="A77" s="2">
        <v>44409</v>
      </c>
      <c r="B77" t="s">
        <v>63</v>
      </c>
      <c r="C77" t="s">
        <v>64</v>
      </c>
      <c r="D77" t="s">
        <v>65</v>
      </c>
      <c r="E77" t="s">
        <v>20</v>
      </c>
      <c r="F77" s="3">
        <v>15670.2</v>
      </c>
      <c r="G77" s="3">
        <v>15000</v>
      </c>
      <c r="H77" s="3">
        <v>1567.0200000000002</v>
      </c>
      <c r="I77" t="s">
        <v>41</v>
      </c>
    </row>
    <row r="78" spans="1:9" x14ac:dyDescent="0.35">
      <c r="A78" s="2">
        <v>44409</v>
      </c>
      <c r="B78" t="s">
        <v>51</v>
      </c>
      <c r="C78" t="s">
        <v>52</v>
      </c>
      <c r="D78" t="s">
        <v>53</v>
      </c>
      <c r="E78" t="s">
        <v>20</v>
      </c>
      <c r="F78" s="3">
        <v>22477.9</v>
      </c>
      <c r="G78" s="3">
        <v>15000</v>
      </c>
      <c r="H78" s="3">
        <v>2247.7900000000004</v>
      </c>
      <c r="I78" t="s">
        <v>13</v>
      </c>
    </row>
    <row r="79" spans="1:9" x14ac:dyDescent="0.35">
      <c r="A79" s="2">
        <v>44409</v>
      </c>
      <c r="B79" t="s">
        <v>51</v>
      </c>
      <c r="C79" t="s">
        <v>52</v>
      </c>
      <c r="D79" t="s">
        <v>53</v>
      </c>
      <c r="E79" t="s">
        <v>20</v>
      </c>
      <c r="F79" s="3">
        <v>36088.1</v>
      </c>
      <c r="G79" s="3">
        <v>15000</v>
      </c>
      <c r="H79" s="3">
        <v>3608.81</v>
      </c>
      <c r="I79" t="s">
        <v>41</v>
      </c>
    </row>
    <row r="80" spans="1:9" x14ac:dyDescent="0.35">
      <c r="A80" s="2">
        <v>44409</v>
      </c>
      <c r="B80" t="s">
        <v>17</v>
      </c>
      <c r="C80" t="s">
        <v>18</v>
      </c>
      <c r="D80" t="s">
        <v>19</v>
      </c>
      <c r="E80" t="s">
        <v>20</v>
      </c>
      <c r="F80" s="3">
        <v>43388.100000000006</v>
      </c>
      <c r="G80" s="3">
        <v>15000</v>
      </c>
      <c r="H80" s="3">
        <v>4338.8100000000004</v>
      </c>
      <c r="I80" t="s">
        <v>13</v>
      </c>
    </row>
    <row r="81" spans="1:9" x14ac:dyDescent="0.35">
      <c r="A81" s="2">
        <v>44440</v>
      </c>
      <c r="B81" t="s">
        <v>35</v>
      </c>
      <c r="C81" t="s">
        <v>36</v>
      </c>
      <c r="D81" t="s">
        <v>37</v>
      </c>
      <c r="E81" t="s">
        <v>20</v>
      </c>
      <c r="F81" s="3">
        <v>7714</v>
      </c>
      <c r="G81" s="3">
        <v>15000</v>
      </c>
      <c r="H81" s="3" t="s">
        <v>88</v>
      </c>
      <c r="I81" t="s">
        <v>9</v>
      </c>
    </row>
    <row r="82" spans="1:9" x14ac:dyDescent="0.35">
      <c r="A82" s="2">
        <v>44440</v>
      </c>
      <c r="B82" t="s">
        <v>17</v>
      </c>
      <c r="C82" t="s">
        <v>18</v>
      </c>
      <c r="D82" t="s">
        <v>19</v>
      </c>
      <c r="E82" t="s">
        <v>20</v>
      </c>
      <c r="F82" s="3">
        <v>15152.399999999998</v>
      </c>
      <c r="G82" s="3">
        <v>15000</v>
      </c>
      <c r="H82" s="3">
        <v>1515.2399999999998</v>
      </c>
      <c r="I82" t="s">
        <v>41</v>
      </c>
    </row>
    <row r="83" spans="1:9" x14ac:dyDescent="0.35">
      <c r="A83" s="2">
        <v>44440</v>
      </c>
      <c r="B83" t="s">
        <v>42</v>
      </c>
      <c r="C83" t="s">
        <v>43</v>
      </c>
      <c r="D83" t="s">
        <v>44</v>
      </c>
      <c r="E83" t="s">
        <v>20</v>
      </c>
      <c r="F83" s="3">
        <v>16363.900000000001</v>
      </c>
      <c r="G83" s="3">
        <v>15000</v>
      </c>
      <c r="H83" s="3">
        <v>1636.3900000000003</v>
      </c>
      <c r="I83" t="s">
        <v>9</v>
      </c>
    </row>
    <row r="84" spans="1:9" x14ac:dyDescent="0.35">
      <c r="A84" s="2">
        <v>44470</v>
      </c>
      <c r="B84" t="s">
        <v>17</v>
      </c>
      <c r="C84" t="s">
        <v>18</v>
      </c>
      <c r="D84" t="s">
        <v>19</v>
      </c>
      <c r="E84" t="s">
        <v>20</v>
      </c>
      <c r="F84" s="3">
        <v>2997.2</v>
      </c>
      <c r="G84" s="3">
        <v>15000</v>
      </c>
      <c r="H84" s="3" t="s">
        <v>88</v>
      </c>
      <c r="I84" t="s">
        <v>9</v>
      </c>
    </row>
    <row r="85" spans="1:9" x14ac:dyDescent="0.35">
      <c r="A85" s="2">
        <v>44470</v>
      </c>
      <c r="B85" t="s">
        <v>35</v>
      </c>
      <c r="C85" t="s">
        <v>36</v>
      </c>
      <c r="D85" t="s">
        <v>37</v>
      </c>
      <c r="E85" t="s">
        <v>20</v>
      </c>
      <c r="F85" s="3">
        <v>7195.9999999999991</v>
      </c>
      <c r="G85" s="3">
        <v>15000</v>
      </c>
      <c r="H85" s="3" t="s">
        <v>88</v>
      </c>
      <c r="I85" t="s">
        <v>13</v>
      </c>
    </row>
    <row r="86" spans="1:9" x14ac:dyDescent="0.35">
      <c r="A86" s="2">
        <v>44470</v>
      </c>
      <c r="B86" t="s">
        <v>51</v>
      </c>
      <c r="C86" t="s">
        <v>52</v>
      </c>
      <c r="D86" t="s">
        <v>53</v>
      </c>
      <c r="E86" t="s">
        <v>20</v>
      </c>
      <c r="F86" s="3">
        <v>10595.2</v>
      </c>
      <c r="G86" s="3">
        <v>15000</v>
      </c>
      <c r="H86" s="3" t="s">
        <v>88</v>
      </c>
      <c r="I86" t="s">
        <v>41</v>
      </c>
    </row>
    <row r="87" spans="1:9" x14ac:dyDescent="0.35">
      <c r="A87" s="2">
        <v>44470</v>
      </c>
      <c r="B87" t="s">
        <v>35</v>
      </c>
      <c r="C87" t="s">
        <v>36</v>
      </c>
      <c r="D87" t="s">
        <v>37</v>
      </c>
      <c r="E87" t="s">
        <v>20</v>
      </c>
      <c r="F87" s="3">
        <v>10694.7</v>
      </c>
      <c r="G87" s="3">
        <v>15000</v>
      </c>
      <c r="H87" s="3" t="s">
        <v>88</v>
      </c>
      <c r="I87" t="s">
        <v>41</v>
      </c>
    </row>
    <row r="88" spans="1:9" x14ac:dyDescent="0.35">
      <c r="A88" s="2">
        <v>44470</v>
      </c>
      <c r="B88" t="s">
        <v>51</v>
      </c>
      <c r="C88" t="s">
        <v>52</v>
      </c>
      <c r="D88" t="s">
        <v>53</v>
      </c>
      <c r="E88" t="s">
        <v>20</v>
      </c>
      <c r="F88" s="3">
        <v>14235.4</v>
      </c>
      <c r="G88" s="3">
        <v>15000</v>
      </c>
      <c r="H88" s="3" t="s">
        <v>88</v>
      </c>
      <c r="I88" t="s">
        <v>41</v>
      </c>
    </row>
    <row r="89" spans="1:9" x14ac:dyDescent="0.35">
      <c r="A89" s="2">
        <v>44470</v>
      </c>
      <c r="B89" t="s">
        <v>51</v>
      </c>
      <c r="C89" t="s">
        <v>52</v>
      </c>
      <c r="D89" t="s">
        <v>53</v>
      </c>
      <c r="E89" t="s">
        <v>20</v>
      </c>
      <c r="F89" s="3">
        <v>36530.199999999997</v>
      </c>
      <c r="G89" s="3">
        <v>15000</v>
      </c>
      <c r="H89" s="3">
        <v>3653.02</v>
      </c>
      <c r="I89" t="s">
        <v>13</v>
      </c>
    </row>
    <row r="90" spans="1:9" x14ac:dyDescent="0.35">
      <c r="A90" s="2">
        <v>44470</v>
      </c>
      <c r="B90" t="s">
        <v>63</v>
      </c>
      <c r="C90" t="s">
        <v>64</v>
      </c>
      <c r="D90" t="s">
        <v>65</v>
      </c>
      <c r="E90" t="s">
        <v>20</v>
      </c>
      <c r="F90" s="3">
        <v>36896.199999999997</v>
      </c>
      <c r="G90" s="3">
        <v>15000</v>
      </c>
      <c r="H90" s="3">
        <v>3689.62</v>
      </c>
      <c r="I90" t="s">
        <v>41</v>
      </c>
    </row>
    <row r="91" spans="1:9" x14ac:dyDescent="0.35">
      <c r="A91" s="2">
        <v>44470</v>
      </c>
      <c r="B91" t="s">
        <v>17</v>
      </c>
      <c r="C91" t="s">
        <v>18</v>
      </c>
      <c r="D91" t="s">
        <v>19</v>
      </c>
      <c r="E91" t="s">
        <v>20</v>
      </c>
      <c r="F91" s="3">
        <v>41420.699999999997</v>
      </c>
      <c r="G91" s="3">
        <v>15000</v>
      </c>
      <c r="H91" s="3">
        <v>4142.07</v>
      </c>
      <c r="I91" t="s">
        <v>9</v>
      </c>
    </row>
    <row r="92" spans="1:9" x14ac:dyDescent="0.35">
      <c r="A92" s="2">
        <v>44501</v>
      </c>
      <c r="B92" t="s">
        <v>51</v>
      </c>
      <c r="C92" t="s">
        <v>52</v>
      </c>
      <c r="D92" t="s">
        <v>53</v>
      </c>
      <c r="E92" t="s">
        <v>20</v>
      </c>
      <c r="F92" s="3">
        <v>6900</v>
      </c>
      <c r="G92" s="3">
        <v>15000</v>
      </c>
      <c r="H92" s="3" t="s">
        <v>88</v>
      </c>
      <c r="I92" t="s">
        <v>13</v>
      </c>
    </row>
    <row r="93" spans="1:9" x14ac:dyDescent="0.35">
      <c r="A93" s="2">
        <v>44501</v>
      </c>
      <c r="B93" t="s">
        <v>63</v>
      </c>
      <c r="C93" t="s">
        <v>64</v>
      </c>
      <c r="D93" t="s">
        <v>65</v>
      </c>
      <c r="E93" t="s">
        <v>20</v>
      </c>
      <c r="F93" s="3">
        <v>9683</v>
      </c>
      <c r="G93" s="3">
        <v>15000</v>
      </c>
      <c r="H93" s="3" t="s">
        <v>88</v>
      </c>
      <c r="I93" t="s">
        <v>41</v>
      </c>
    </row>
    <row r="94" spans="1:9" x14ac:dyDescent="0.35">
      <c r="A94" s="2">
        <v>44501</v>
      </c>
      <c r="B94" t="s">
        <v>42</v>
      </c>
      <c r="C94" t="s">
        <v>43</v>
      </c>
      <c r="D94" t="s">
        <v>44</v>
      </c>
      <c r="E94" t="s">
        <v>20</v>
      </c>
      <c r="F94" s="3">
        <v>14302.9</v>
      </c>
      <c r="G94" s="3">
        <v>15000</v>
      </c>
      <c r="H94" s="3" t="s">
        <v>88</v>
      </c>
      <c r="I94" t="s">
        <v>9</v>
      </c>
    </row>
    <row r="95" spans="1:9" x14ac:dyDescent="0.35">
      <c r="A95" s="2">
        <v>44501</v>
      </c>
      <c r="B95" t="s">
        <v>17</v>
      </c>
      <c r="C95" t="s">
        <v>18</v>
      </c>
      <c r="D95" t="s">
        <v>19</v>
      </c>
      <c r="E95" t="s">
        <v>20</v>
      </c>
      <c r="F95" s="3">
        <v>16806.400000000001</v>
      </c>
      <c r="G95" s="3">
        <v>15000</v>
      </c>
      <c r="H95" s="3">
        <v>1680.6400000000003</v>
      </c>
      <c r="I95" t="s">
        <v>9</v>
      </c>
    </row>
    <row r="96" spans="1:9" x14ac:dyDescent="0.35">
      <c r="A96" s="2">
        <v>44501</v>
      </c>
      <c r="B96" t="s">
        <v>35</v>
      </c>
      <c r="C96" t="s">
        <v>36</v>
      </c>
      <c r="D96" t="s">
        <v>37</v>
      </c>
      <c r="E96" t="s">
        <v>20</v>
      </c>
      <c r="F96" s="3">
        <v>20797.200000000004</v>
      </c>
      <c r="G96" s="3">
        <v>15000</v>
      </c>
      <c r="H96" s="3">
        <v>2079.7200000000007</v>
      </c>
      <c r="I96" t="s">
        <v>13</v>
      </c>
    </row>
    <row r="97" spans="1:9" x14ac:dyDescent="0.35">
      <c r="A97" s="2">
        <v>44501</v>
      </c>
      <c r="B97" t="s">
        <v>63</v>
      </c>
      <c r="C97" t="s">
        <v>64</v>
      </c>
      <c r="D97" t="s">
        <v>65</v>
      </c>
      <c r="E97" t="s">
        <v>20</v>
      </c>
      <c r="F97" s="3">
        <v>26866</v>
      </c>
      <c r="G97" s="3">
        <v>15000</v>
      </c>
      <c r="H97" s="3">
        <v>2686.6000000000004</v>
      </c>
      <c r="I97" t="s">
        <v>41</v>
      </c>
    </row>
    <row r="98" spans="1:9" x14ac:dyDescent="0.35">
      <c r="A98" s="2">
        <v>44531</v>
      </c>
      <c r="B98" t="s">
        <v>63</v>
      </c>
      <c r="C98" t="s">
        <v>64</v>
      </c>
      <c r="D98" t="s">
        <v>65</v>
      </c>
      <c r="E98" t="s">
        <v>20</v>
      </c>
      <c r="F98" s="3">
        <v>7009.2000000000007</v>
      </c>
      <c r="G98" s="3">
        <v>15000</v>
      </c>
      <c r="H98" s="3" t="s">
        <v>88</v>
      </c>
      <c r="I98" t="s">
        <v>13</v>
      </c>
    </row>
    <row r="99" spans="1:9" x14ac:dyDescent="0.35">
      <c r="A99" s="2">
        <v>44531</v>
      </c>
      <c r="B99" t="s">
        <v>51</v>
      </c>
      <c r="C99" t="s">
        <v>52</v>
      </c>
      <c r="D99" t="s">
        <v>53</v>
      </c>
      <c r="E99" t="s">
        <v>20</v>
      </c>
      <c r="F99" s="3">
        <v>7088.9</v>
      </c>
      <c r="G99" s="3">
        <v>15000</v>
      </c>
      <c r="H99" s="3" t="s">
        <v>88</v>
      </c>
      <c r="I99" t="s">
        <v>9</v>
      </c>
    </row>
    <row r="100" spans="1:9" x14ac:dyDescent="0.35">
      <c r="A100" s="2">
        <v>44531</v>
      </c>
      <c r="B100" t="s">
        <v>63</v>
      </c>
      <c r="C100" t="s">
        <v>64</v>
      </c>
      <c r="D100" t="s">
        <v>65</v>
      </c>
      <c r="E100" t="s">
        <v>20</v>
      </c>
      <c r="F100" s="3">
        <v>8095.5</v>
      </c>
      <c r="G100" s="3">
        <v>15000</v>
      </c>
      <c r="H100" s="3" t="s">
        <v>88</v>
      </c>
      <c r="I100" t="s">
        <v>9</v>
      </c>
    </row>
    <row r="101" spans="1:9" x14ac:dyDescent="0.35">
      <c r="A101" s="2">
        <v>44531</v>
      </c>
      <c r="B101" t="s">
        <v>17</v>
      </c>
      <c r="C101" t="s">
        <v>18</v>
      </c>
      <c r="D101" t="s">
        <v>19</v>
      </c>
      <c r="E101" t="s">
        <v>20</v>
      </c>
      <c r="F101" s="3">
        <v>8914.5</v>
      </c>
      <c r="G101" s="3">
        <v>15000</v>
      </c>
      <c r="H101" s="3" t="s">
        <v>88</v>
      </c>
      <c r="I101" t="s">
        <v>9</v>
      </c>
    </row>
  </sheetData>
  <conditionalFormatting sqref="F1:F1048576">
    <cfRule type="top10" dxfId="2" priority="1" rank="5"/>
  </conditionalFormatting>
  <hyperlinks>
    <hyperlink ref="R1" location="'Cover Page'!A1" display="'back to Cover Page" xr:uid="{CA0259DB-D3BE-4F4E-807E-F762F722E04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9545-030F-49FA-9470-F1D6AE749802}">
  <dimension ref="A1:N391"/>
  <sheetViews>
    <sheetView topLeftCell="F1" workbookViewId="0">
      <selection activeCell="N366" sqref="N366"/>
    </sheetView>
  </sheetViews>
  <sheetFormatPr defaultRowHeight="14.5" x14ac:dyDescent="0.35"/>
  <cols>
    <col min="1" max="1" width="16.54296875" customWidth="1"/>
    <col min="2" max="2" width="22.26953125" customWidth="1"/>
    <col min="3" max="4" width="20.1796875" customWidth="1"/>
    <col min="5" max="5" width="22.1796875" customWidth="1"/>
    <col min="6" max="6" width="26.7265625" customWidth="1"/>
    <col min="7" max="7" width="14.453125" customWidth="1"/>
    <col min="8" max="8" width="22.7265625" customWidth="1"/>
    <col min="9" max="9" width="28.81640625" customWidth="1"/>
    <col min="10" max="10" width="19.26953125" customWidth="1"/>
    <col min="14" max="14" width="17.453125" customWidth="1"/>
  </cols>
  <sheetData>
    <row r="1" spans="1:14" ht="24.75" customHeight="1" thickBot="1" x14ac:dyDescent="0.4">
      <c r="A1" s="25" t="s">
        <v>0</v>
      </c>
      <c r="B1" s="25" t="s">
        <v>1</v>
      </c>
      <c r="C1" s="25" t="s">
        <v>2</v>
      </c>
      <c r="D1" s="25" t="s">
        <v>3</v>
      </c>
      <c r="E1" s="24" t="s">
        <v>84</v>
      </c>
      <c r="F1" s="26" t="s">
        <v>4</v>
      </c>
      <c r="G1" s="26" t="s">
        <v>85</v>
      </c>
      <c r="H1" s="26" t="s">
        <v>86</v>
      </c>
      <c r="I1" s="25" t="s">
        <v>120</v>
      </c>
      <c r="J1" s="26" t="s">
        <v>93</v>
      </c>
      <c r="N1" s="34" t="s">
        <v>133</v>
      </c>
    </row>
    <row r="2" spans="1:14" ht="15" hidden="1" thickTop="1" x14ac:dyDescent="0.35">
      <c r="A2" s="2">
        <v>44197</v>
      </c>
      <c r="B2" t="s">
        <v>14</v>
      </c>
      <c r="C2" t="s">
        <v>15</v>
      </c>
      <c r="D2" t="s">
        <v>16</v>
      </c>
      <c r="E2" t="s">
        <v>8</v>
      </c>
      <c r="F2" s="3">
        <v>2954.7</v>
      </c>
      <c r="G2" s="3">
        <v>15000</v>
      </c>
      <c r="H2" s="3" t="str">
        <f t="shared" ref="H2:H65" si="0">IF(F2&gt;=G2, F2*Commission, "$_")</f>
        <v>$_</v>
      </c>
      <c r="I2" t="s">
        <v>13</v>
      </c>
      <c r="J2" s="3">
        <f>SUM(Table4[[#This Row],[Sales Amount]]-Table4[[#This Row],[Target]])</f>
        <v>-12045.3</v>
      </c>
      <c r="K2" s="9"/>
    </row>
    <row r="3" spans="1:14" ht="15" hidden="1" thickTop="1" x14ac:dyDescent="0.35">
      <c r="A3" s="2">
        <v>44197</v>
      </c>
      <c r="B3" t="s">
        <v>66</v>
      </c>
      <c r="C3" t="s">
        <v>67</v>
      </c>
      <c r="D3" t="s">
        <v>68</v>
      </c>
      <c r="E3" t="s">
        <v>8</v>
      </c>
      <c r="F3" s="3">
        <v>6796.7999999999993</v>
      </c>
      <c r="G3" s="3">
        <v>15000</v>
      </c>
      <c r="H3" s="3" t="str">
        <f t="shared" si="0"/>
        <v>$_</v>
      </c>
      <c r="I3" t="s">
        <v>9</v>
      </c>
      <c r="J3" s="3">
        <f>SUM(Table4[[#This Row],[Sales Amount]]-Table4[[#This Row],[Target]])</f>
        <v>-8203.2000000000007</v>
      </c>
    </row>
    <row r="4" spans="1:14" ht="15" hidden="1" thickTop="1" x14ac:dyDescent="0.35">
      <c r="A4" s="2">
        <v>44197</v>
      </c>
      <c r="B4" t="s">
        <v>66</v>
      </c>
      <c r="C4" t="s">
        <v>67</v>
      </c>
      <c r="D4" t="s">
        <v>68</v>
      </c>
      <c r="E4" t="s">
        <v>8</v>
      </c>
      <c r="F4" s="3">
        <v>8188</v>
      </c>
      <c r="G4" s="3">
        <v>15000</v>
      </c>
      <c r="H4" s="3" t="str">
        <f t="shared" si="0"/>
        <v>$_</v>
      </c>
      <c r="I4" t="s">
        <v>41</v>
      </c>
      <c r="J4" s="3">
        <f>SUM(Table4[[#This Row],[Sales Amount]]-Table4[[#This Row],[Target]])</f>
        <v>-6812</v>
      </c>
    </row>
    <row r="5" spans="1:14" ht="15" hidden="1" thickTop="1" x14ac:dyDescent="0.35">
      <c r="A5" s="2">
        <v>44197</v>
      </c>
      <c r="B5" t="s">
        <v>14</v>
      </c>
      <c r="C5" t="s">
        <v>15</v>
      </c>
      <c r="D5" t="s">
        <v>16</v>
      </c>
      <c r="E5" t="s">
        <v>8</v>
      </c>
      <c r="F5" s="3">
        <v>9058.4</v>
      </c>
      <c r="G5" s="3">
        <v>15000</v>
      </c>
      <c r="H5" s="3" t="str">
        <f t="shared" si="0"/>
        <v>$_</v>
      </c>
      <c r="I5" t="s">
        <v>9</v>
      </c>
      <c r="J5" s="3">
        <f>SUM(Table4[[#This Row],[Sales Amount]]-Table4[[#This Row],[Target]])</f>
        <v>-5941.6</v>
      </c>
    </row>
    <row r="6" spans="1:14" ht="15" hidden="1" thickTop="1" x14ac:dyDescent="0.35">
      <c r="A6" s="2">
        <v>44197</v>
      </c>
      <c r="B6" t="s">
        <v>66</v>
      </c>
      <c r="C6" t="s">
        <v>67</v>
      </c>
      <c r="D6" t="s">
        <v>68</v>
      </c>
      <c r="E6" t="s">
        <v>8</v>
      </c>
      <c r="F6" s="3">
        <v>12096</v>
      </c>
      <c r="G6" s="3">
        <v>15000</v>
      </c>
      <c r="H6" s="3" t="str">
        <f t="shared" si="0"/>
        <v>$_</v>
      </c>
      <c r="I6" t="s">
        <v>41</v>
      </c>
      <c r="J6" s="3">
        <f>SUM(Table4[[#This Row],[Sales Amount]]-Table4[[#This Row],[Target]])</f>
        <v>-2904</v>
      </c>
    </row>
    <row r="7" spans="1:14" ht="15" hidden="1" thickTop="1" x14ac:dyDescent="0.35">
      <c r="A7" s="2">
        <v>44197</v>
      </c>
      <c r="B7" t="s">
        <v>5</v>
      </c>
      <c r="C7" t="s">
        <v>6</v>
      </c>
      <c r="D7" t="s">
        <v>7</v>
      </c>
      <c r="E7" t="s">
        <v>8</v>
      </c>
      <c r="F7" s="3">
        <v>15029</v>
      </c>
      <c r="G7" s="3">
        <v>15000</v>
      </c>
      <c r="H7" s="3">
        <f t="shared" si="0"/>
        <v>1502.9</v>
      </c>
      <c r="I7" t="s">
        <v>13</v>
      </c>
      <c r="J7" s="3">
        <f>SUM(Table4[[#This Row],[Sales Amount]]-Table4[[#This Row],[Target]])</f>
        <v>29</v>
      </c>
    </row>
    <row r="8" spans="1:14" ht="15" hidden="1" thickTop="1" x14ac:dyDescent="0.35">
      <c r="A8" s="2">
        <v>44197</v>
      </c>
      <c r="B8" t="s">
        <v>5</v>
      </c>
      <c r="C8" t="s">
        <v>6</v>
      </c>
      <c r="D8" t="s">
        <v>7</v>
      </c>
      <c r="E8" t="s">
        <v>8</v>
      </c>
      <c r="F8" s="3">
        <v>15264</v>
      </c>
      <c r="G8" s="3">
        <v>15000</v>
      </c>
      <c r="H8" s="3">
        <f t="shared" si="0"/>
        <v>1526.4</v>
      </c>
      <c r="I8" t="s">
        <v>13</v>
      </c>
      <c r="J8" s="3">
        <f>SUM(Table4[[#This Row],[Sales Amount]]-Table4[[#This Row],[Target]])</f>
        <v>264</v>
      </c>
    </row>
    <row r="9" spans="1:14" ht="15" hidden="1" thickTop="1" x14ac:dyDescent="0.35">
      <c r="A9" s="2">
        <v>44197</v>
      </c>
      <c r="B9" t="s">
        <v>5</v>
      </c>
      <c r="C9" t="s">
        <v>6</v>
      </c>
      <c r="D9" t="s">
        <v>7</v>
      </c>
      <c r="E9" t="s">
        <v>8</v>
      </c>
      <c r="F9" s="3">
        <v>17353.599999999999</v>
      </c>
      <c r="G9" s="3">
        <v>15000</v>
      </c>
      <c r="H9" s="3">
        <f t="shared" si="0"/>
        <v>1735.36</v>
      </c>
      <c r="I9" t="s">
        <v>9</v>
      </c>
      <c r="J9" s="3">
        <f>SUM(Table4[[#This Row],[Sales Amount]]-Table4[[#This Row],[Target]])</f>
        <v>2353.5999999999985</v>
      </c>
    </row>
    <row r="10" spans="1:14" ht="15" hidden="1" thickTop="1" x14ac:dyDescent="0.35">
      <c r="A10" s="2">
        <v>44197</v>
      </c>
      <c r="B10" t="s">
        <v>10</v>
      </c>
      <c r="C10" t="s">
        <v>11</v>
      </c>
      <c r="D10" t="s">
        <v>12</v>
      </c>
      <c r="E10" t="s">
        <v>8</v>
      </c>
      <c r="F10" s="3">
        <v>20140</v>
      </c>
      <c r="G10" s="3">
        <v>15000</v>
      </c>
      <c r="H10" s="3">
        <f t="shared" si="0"/>
        <v>2014</v>
      </c>
      <c r="I10" t="s">
        <v>41</v>
      </c>
      <c r="J10" s="3">
        <f>SUM(Table4[[#This Row],[Sales Amount]]-Table4[[#This Row],[Target]])</f>
        <v>5140</v>
      </c>
    </row>
    <row r="11" spans="1:14" ht="15" hidden="1" thickTop="1" x14ac:dyDescent="0.35">
      <c r="A11" s="2">
        <v>44197</v>
      </c>
      <c r="B11" t="s">
        <v>10</v>
      </c>
      <c r="C11" t="s">
        <v>11</v>
      </c>
      <c r="D11" t="s">
        <v>12</v>
      </c>
      <c r="E11" t="s">
        <v>8</v>
      </c>
      <c r="F11" s="3">
        <v>35649</v>
      </c>
      <c r="G11" s="3">
        <v>15000</v>
      </c>
      <c r="H11" s="3">
        <f t="shared" si="0"/>
        <v>3564.9</v>
      </c>
      <c r="I11" t="s">
        <v>9</v>
      </c>
      <c r="J11" s="3">
        <f>SUM(Table4[[#This Row],[Sales Amount]]-Table4[[#This Row],[Target]])</f>
        <v>20649</v>
      </c>
    </row>
    <row r="12" spans="1:14" ht="15" hidden="1" thickTop="1" x14ac:dyDescent="0.35">
      <c r="A12" s="2">
        <v>44197</v>
      </c>
      <c r="B12" t="s">
        <v>17</v>
      </c>
      <c r="C12" t="s">
        <v>18</v>
      </c>
      <c r="D12" t="s">
        <v>19</v>
      </c>
      <c r="E12" t="s">
        <v>20</v>
      </c>
      <c r="F12" s="3">
        <v>6945.4</v>
      </c>
      <c r="G12" s="3">
        <v>15000</v>
      </c>
      <c r="H12" s="3" t="str">
        <f t="shared" si="0"/>
        <v>$_</v>
      </c>
      <c r="I12" t="s">
        <v>41</v>
      </c>
      <c r="J12" s="3">
        <f>SUM(Table4[[#This Row],[Sales Amount]]-Table4[[#This Row],[Target]])</f>
        <v>-8054.6</v>
      </c>
    </row>
    <row r="13" spans="1:14" ht="15" hidden="1" thickTop="1" x14ac:dyDescent="0.35">
      <c r="A13" s="2">
        <v>44197</v>
      </c>
      <c r="B13" t="s">
        <v>17</v>
      </c>
      <c r="C13" t="s">
        <v>18</v>
      </c>
      <c r="D13" t="s">
        <v>19</v>
      </c>
      <c r="E13" t="s">
        <v>20</v>
      </c>
      <c r="F13" s="3">
        <v>7658.2000000000007</v>
      </c>
      <c r="G13" s="3">
        <v>15000</v>
      </c>
      <c r="H13" s="3" t="str">
        <f t="shared" si="0"/>
        <v>$_</v>
      </c>
      <c r="I13" t="s">
        <v>41</v>
      </c>
      <c r="J13" s="3">
        <f>SUM(Table4[[#This Row],[Sales Amount]]-Table4[[#This Row],[Target]])</f>
        <v>-7341.7999999999993</v>
      </c>
    </row>
    <row r="14" spans="1:14" ht="15" hidden="1" thickTop="1" x14ac:dyDescent="0.35">
      <c r="A14" s="2">
        <v>44197</v>
      </c>
      <c r="B14" t="s">
        <v>42</v>
      </c>
      <c r="C14" t="s">
        <v>43</v>
      </c>
      <c r="D14" t="s">
        <v>44</v>
      </c>
      <c r="E14" t="s">
        <v>20</v>
      </c>
      <c r="F14" s="3">
        <v>7658.5999999999985</v>
      </c>
      <c r="G14" s="3">
        <v>15000</v>
      </c>
      <c r="H14" s="3" t="str">
        <f t="shared" si="0"/>
        <v>$_</v>
      </c>
      <c r="I14" t="s">
        <v>13</v>
      </c>
      <c r="J14" s="3">
        <f>SUM(Table4[[#This Row],[Sales Amount]]-Table4[[#This Row],[Target]])</f>
        <v>-7341.4000000000015</v>
      </c>
    </row>
    <row r="15" spans="1:14" ht="15" hidden="1" thickTop="1" x14ac:dyDescent="0.35">
      <c r="A15" s="2">
        <v>44197</v>
      </c>
      <c r="B15" t="s">
        <v>51</v>
      </c>
      <c r="C15" t="s">
        <v>52</v>
      </c>
      <c r="D15" t="s">
        <v>53</v>
      </c>
      <c r="E15" t="s">
        <v>20</v>
      </c>
      <c r="F15" s="3">
        <v>9098.6</v>
      </c>
      <c r="G15" s="3">
        <v>15000</v>
      </c>
      <c r="H15" s="3" t="str">
        <f t="shared" si="0"/>
        <v>$_</v>
      </c>
      <c r="I15" t="s">
        <v>41</v>
      </c>
      <c r="J15" s="3">
        <f>SUM(Table4[[#This Row],[Sales Amount]]-Table4[[#This Row],[Target]])</f>
        <v>-5901.4</v>
      </c>
    </row>
    <row r="16" spans="1:14" ht="15" hidden="1" thickTop="1" x14ac:dyDescent="0.35">
      <c r="A16" s="2">
        <v>44197</v>
      </c>
      <c r="B16" t="s">
        <v>17</v>
      </c>
      <c r="C16" t="s">
        <v>18</v>
      </c>
      <c r="D16" t="s">
        <v>19</v>
      </c>
      <c r="E16" t="s">
        <v>20</v>
      </c>
      <c r="F16" s="3">
        <v>10019.199999999999</v>
      </c>
      <c r="G16" s="3">
        <v>15000</v>
      </c>
      <c r="H16" s="3" t="str">
        <f t="shared" si="0"/>
        <v>$_</v>
      </c>
      <c r="I16" t="s">
        <v>41</v>
      </c>
      <c r="J16" s="3">
        <f>SUM(Table4[[#This Row],[Sales Amount]]-Table4[[#This Row],[Target]])</f>
        <v>-4980.8000000000011</v>
      </c>
    </row>
    <row r="17" spans="1:10" ht="15" hidden="1" thickTop="1" x14ac:dyDescent="0.35">
      <c r="A17" s="2">
        <v>44197</v>
      </c>
      <c r="B17" t="s">
        <v>42</v>
      </c>
      <c r="C17" t="s">
        <v>43</v>
      </c>
      <c r="D17" t="s">
        <v>44</v>
      </c>
      <c r="E17" t="s">
        <v>20</v>
      </c>
      <c r="F17" s="3">
        <v>10176</v>
      </c>
      <c r="G17" s="3">
        <v>15000</v>
      </c>
      <c r="H17" s="3" t="str">
        <f t="shared" si="0"/>
        <v>$_</v>
      </c>
      <c r="I17" t="s">
        <v>13</v>
      </c>
      <c r="J17" s="3">
        <f>SUM(Table4[[#This Row],[Sales Amount]]-Table4[[#This Row],[Target]])</f>
        <v>-4824</v>
      </c>
    </row>
    <row r="18" spans="1:10" ht="15" hidden="1" thickTop="1" x14ac:dyDescent="0.35">
      <c r="A18" s="2">
        <v>44197</v>
      </c>
      <c r="B18" t="s">
        <v>51</v>
      </c>
      <c r="C18" t="s">
        <v>52</v>
      </c>
      <c r="D18" t="s">
        <v>53</v>
      </c>
      <c r="E18" t="s">
        <v>20</v>
      </c>
      <c r="F18" s="3">
        <v>16385.600000000002</v>
      </c>
      <c r="G18" s="3">
        <v>15000</v>
      </c>
      <c r="H18" s="3">
        <f t="shared" si="0"/>
        <v>1638.5600000000004</v>
      </c>
      <c r="I18" t="s">
        <v>9</v>
      </c>
      <c r="J18" s="3">
        <f>SUM(Table4[[#This Row],[Sales Amount]]-Table4[[#This Row],[Target]])</f>
        <v>1385.6000000000022</v>
      </c>
    </row>
    <row r="19" spans="1:10" ht="15" hidden="1" thickTop="1" x14ac:dyDescent="0.35">
      <c r="A19" s="2">
        <v>44197</v>
      </c>
      <c r="B19" t="s">
        <v>42</v>
      </c>
      <c r="C19" t="s">
        <v>43</v>
      </c>
      <c r="D19" t="s">
        <v>44</v>
      </c>
      <c r="E19" t="s">
        <v>20</v>
      </c>
      <c r="F19" s="3">
        <v>19108</v>
      </c>
      <c r="G19" s="3">
        <v>15000</v>
      </c>
      <c r="H19" s="3">
        <f t="shared" si="0"/>
        <v>1910.8000000000002</v>
      </c>
      <c r="I19" t="s">
        <v>13</v>
      </c>
      <c r="J19" s="3">
        <f>SUM(Table4[[#This Row],[Sales Amount]]-Table4[[#This Row],[Target]])</f>
        <v>4108</v>
      </c>
    </row>
    <row r="20" spans="1:10" ht="15" hidden="1" thickTop="1" x14ac:dyDescent="0.35">
      <c r="A20" s="2">
        <v>44197</v>
      </c>
      <c r="B20" t="s">
        <v>17</v>
      </c>
      <c r="C20" t="s">
        <v>18</v>
      </c>
      <c r="D20" t="s">
        <v>19</v>
      </c>
      <c r="E20" t="s">
        <v>20</v>
      </c>
      <c r="F20" s="3">
        <v>19456</v>
      </c>
      <c r="G20" s="3">
        <v>15000</v>
      </c>
      <c r="H20" s="3">
        <f t="shared" si="0"/>
        <v>1945.6000000000001</v>
      </c>
      <c r="I20" t="s">
        <v>9</v>
      </c>
      <c r="J20" s="3">
        <f>SUM(Table4[[#This Row],[Sales Amount]]-Table4[[#This Row],[Target]])</f>
        <v>4456</v>
      </c>
    </row>
    <row r="21" spans="1:10" ht="15" hidden="1" thickTop="1" x14ac:dyDescent="0.35">
      <c r="A21" s="2">
        <v>44197</v>
      </c>
      <c r="B21" t="s">
        <v>63</v>
      </c>
      <c r="C21" t="s">
        <v>64</v>
      </c>
      <c r="D21" t="s">
        <v>65</v>
      </c>
      <c r="E21" t="s">
        <v>20</v>
      </c>
      <c r="F21" s="3">
        <v>31127.199999999997</v>
      </c>
      <c r="G21" s="3">
        <v>15000</v>
      </c>
      <c r="H21" s="3">
        <f t="shared" si="0"/>
        <v>3112.72</v>
      </c>
      <c r="I21" t="s">
        <v>41</v>
      </c>
      <c r="J21" s="3">
        <f>SUM(Table4[[#This Row],[Sales Amount]]-Table4[[#This Row],[Target]])</f>
        <v>16127.199999999997</v>
      </c>
    </row>
    <row r="22" spans="1:10" ht="15" hidden="1" thickTop="1" x14ac:dyDescent="0.35">
      <c r="A22" s="2">
        <v>44197</v>
      </c>
      <c r="B22" t="s">
        <v>63</v>
      </c>
      <c r="C22" t="s">
        <v>64</v>
      </c>
      <c r="D22" t="s">
        <v>65</v>
      </c>
      <c r="E22" t="s">
        <v>20</v>
      </c>
      <c r="F22" s="3">
        <v>36372.1</v>
      </c>
      <c r="G22" s="3">
        <v>15000</v>
      </c>
      <c r="H22" s="3">
        <f t="shared" si="0"/>
        <v>3637.21</v>
      </c>
      <c r="I22" t="s">
        <v>9</v>
      </c>
      <c r="J22" s="3">
        <f>SUM(Table4[[#This Row],[Sales Amount]]-Table4[[#This Row],[Target]])</f>
        <v>21372.1</v>
      </c>
    </row>
    <row r="23" spans="1:10" ht="15" hidden="1" thickTop="1" x14ac:dyDescent="0.35">
      <c r="A23" s="2">
        <v>44197</v>
      </c>
      <c r="B23" t="s">
        <v>42</v>
      </c>
      <c r="C23" t="s">
        <v>43</v>
      </c>
      <c r="D23" t="s">
        <v>44</v>
      </c>
      <c r="E23" t="s">
        <v>20</v>
      </c>
      <c r="F23" s="3">
        <v>39186</v>
      </c>
      <c r="G23" s="3">
        <v>15000</v>
      </c>
      <c r="H23" s="3">
        <f t="shared" si="0"/>
        <v>3918.6000000000004</v>
      </c>
      <c r="I23" t="s">
        <v>13</v>
      </c>
      <c r="J23" s="3">
        <f>SUM(Table4[[#This Row],[Sales Amount]]-Table4[[#This Row],[Target]])</f>
        <v>24186</v>
      </c>
    </row>
    <row r="24" spans="1:10" ht="15" hidden="1" thickTop="1" x14ac:dyDescent="0.35">
      <c r="A24" s="2">
        <v>44197</v>
      </c>
      <c r="B24" t="s">
        <v>63</v>
      </c>
      <c r="C24" t="s">
        <v>64</v>
      </c>
      <c r="D24" t="s">
        <v>65</v>
      </c>
      <c r="E24" t="s">
        <v>20</v>
      </c>
      <c r="F24" s="3">
        <v>46715.999999999993</v>
      </c>
      <c r="G24" s="3">
        <v>15000</v>
      </c>
      <c r="H24" s="3">
        <f t="shared" si="0"/>
        <v>4671.5999999999995</v>
      </c>
      <c r="I24" t="s">
        <v>9</v>
      </c>
      <c r="J24" s="3">
        <f>SUM(Table4[[#This Row],[Sales Amount]]-Table4[[#This Row],[Target]])</f>
        <v>31715.999999999993</v>
      </c>
    </row>
    <row r="25" spans="1:10" ht="15" hidden="1" thickTop="1" x14ac:dyDescent="0.35">
      <c r="A25" s="2">
        <v>44197</v>
      </c>
      <c r="B25" t="s">
        <v>28</v>
      </c>
      <c r="C25" t="s">
        <v>29</v>
      </c>
      <c r="D25" t="s">
        <v>30</v>
      </c>
      <c r="E25" t="s">
        <v>31</v>
      </c>
      <c r="F25" s="3">
        <v>13310.4</v>
      </c>
      <c r="G25" s="3">
        <v>15000</v>
      </c>
      <c r="H25" s="3" t="str">
        <f t="shared" si="0"/>
        <v>$_</v>
      </c>
      <c r="I25" t="s">
        <v>9</v>
      </c>
      <c r="J25" s="3">
        <f>SUM(Table4[[#This Row],[Sales Amount]]-Table4[[#This Row],[Target]])</f>
        <v>-1689.6000000000004</v>
      </c>
    </row>
    <row r="26" spans="1:10" ht="15" hidden="1" thickTop="1" x14ac:dyDescent="0.35">
      <c r="A26" s="2">
        <v>44197</v>
      </c>
      <c r="B26" t="s">
        <v>57</v>
      </c>
      <c r="C26" t="s">
        <v>58</v>
      </c>
      <c r="D26" t="s">
        <v>59</v>
      </c>
      <c r="E26" t="s">
        <v>31</v>
      </c>
      <c r="F26" s="3">
        <v>20366.100000000002</v>
      </c>
      <c r="G26" s="3">
        <v>15000</v>
      </c>
      <c r="H26" s="3">
        <f t="shared" si="0"/>
        <v>2036.6100000000004</v>
      </c>
      <c r="I26" t="s">
        <v>41</v>
      </c>
      <c r="J26" s="3">
        <f>SUM(Table4[[#This Row],[Sales Amount]]-Table4[[#This Row],[Target]])</f>
        <v>5366.1000000000022</v>
      </c>
    </row>
    <row r="27" spans="1:10" ht="15" hidden="1" thickTop="1" x14ac:dyDescent="0.35">
      <c r="A27" s="2">
        <v>44197</v>
      </c>
      <c r="B27" t="s">
        <v>57</v>
      </c>
      <c r="C27" t="s">
        <v>58</v>
      </c>
      <c r="D27" t="s">
        <v>59</v>
      </c>
      <c r="E27" t="s">
        <v>31</v>
      </c>
      <c r="F27" s="3">
        <v>20880</v>
      </c>
      <c r="G27" s="3">
        <v>15000</v>
      </c>
      <c r="H27" s="3">
        <f t="shared" si="0"/>
        <v>2088</v>
      </c>
      <c r="I27" t="s">
        <v>9</v>
      </c>
      <c r="J27" s="3">
        <f>SUM(Table4[[#This Row],[Sales Amount]]-Table4[[#This Row],[Target]])</f>
        <v>5880</v>
      </c>
    </row>
    <row r="28" spans="1:10" ht="15" hidden="1" thickTop="1" x14ac:dyDescent="0.35">
      <c r="A28" s="2">
        <v>44197</v>
      </c>
      <c r="B28" t="s">
        <v>28</v>
      </c>
      <c r="C28" t="s">
        <v>29</v>
      </c>
      <c r="D28" t="s">
        <v>30</v>
      </c>
      <c r="E28" t="s">
        <v>31</v>
      </c>
      <c r="F28" s="3">
        <v>23076.199999999997</v>
      </c>
      <c r="G28" s="3">
        <v>15000</v>
      </c>
      <c r="H28" s="3">
        <f t="shared" si="0"/>
        <v>2307.62</v>
      </c>
      <c r="I28" t="s">
        <v>9</v>
      </c>
      <c r="J28" s="3">
        <f>SUM(Table4[[#This Row],[Sales Amount]]-Table4[[#This Row],[Target]])</f>
        <v>8076.1999999999971</v>
      </c>
    </row>
    <row r="29" spans="1:10" ht="15" hidden="1" thickTop="1" x14ac:dyDescent="0.35">
      <c r="A29" s="2">
        <v>44197</v>
      </c>
      <c r="B29" t="s">
        <v>28</v>
      </c>
      <c r="C29" t="s">
        <v>29</v>
      </c>
      <c r="D29" t="s">
        <v>30</v>
      </c>
      <c r="E29" t="s">
        <v>31</v>
      </c>
      <c r="F29" s="3">
        <v>25560</v>
      </c>
      <c r="G29" s="3">
        <v>15000</v>
      </c>
      <c r="H29" s="3">
        <f t="shared" si="0"/>
        <v>2556</v>
      </c>
      <c r="I29" t="s">
        <v>9</v>
      </c>
      <c r="J29" s="3">
        <f>SUM(Table4[[#This Row],[Sales Amount]]-Table4[[#This Row],[Target]])</f>
        <v>10560</v>
      </c>
    </row>
    <row r="30" spans="1:10" ht="15" hidden="1" thickTop="1" x14ac:dyDescent="0.35">
      <c r="A30" s="2">
        <v>44197</v>
      </c>
      <c r="B30" t="s">
        <v>21</v>
      </c>
      <c r="C30" t="s">
        <v>22</v>
      </c>
      <c r="D30" t="s">
        <v>23</v>
      </c>
      <c r="E30" t="s">
        <v>24</v>
      </c>
      <c r="F30" s="3">
        <v>3008.3999999999996</v>
      </c>
      <c r="G30" s="3">
        <v>15000</v>
      </c>
      <c r="H30" s="3" t="str">
        <f t="shared" si="0"/>
        <v>$_</v>
      </c>
      <c r="I30" t="s">
        <v>13</v>
      </c>
      <c r="J30" s="3">
        <f>SUM(Table4[[#This Row],[Sales Amount]]-Table4[[#This Row],[Target]])</f>
        <v>-11991.6</v>
      </c>
    </row>
    <row r="31" spans="1:10" ht="15" hidden="1" thickTop="1" x14ac:dyDescent="0.35">
      <c r="A31" s="2">
        <v>44197</v>
      </c>
      <c r="B31" t="s">
        <v>48</v>
      </c>
      <c r="C31" t="s">
        <v>49</v>
      </c>
      <c r="D31" t="s">
        <v>50</v>
      </c>
      <c r="E31" t="s">
        <v>24</v>
      </c>
      <c r="F31" s="3">
        <v>7221.5999999999995</v>
      </c>
      <c r="G31" s="3">
        <v>15000</v>
      </c>
      <c r="H31" s="3" t="str">
        <f t="shared" si="0"/>
        <v>$_</v>
      </c>
      <c r="I31" t="s">
        <v>41</v>
      </c>
      <c r="J31" s="3">
        <f>SUM(Table4[[#This Row],[Sales Amount]]-Table4[[#This Row],[Target]])</f>
        <v>-7778.4000000000005</v>
      </c>
    </row>
    <row r="32" spans="1:10" ht="15" hidden="1" thickTop="1" x14ac:dyDescent="0.35">
      <c r="A32" s="2">
        <v>44197</v>
      </c>
      <c r="B32" t="s">
        <v>21</v>
      </c>
      <c r="C32" t="s">
        <v>22</v>
      </c>
      <c r="D32" t="s">
        <v>23</v>
      </c>
      <c r="E32" t="s">
        <v>24</v>
      </c>
      <c r="F32" s="3">
        <v>10903.199999999999</v>
      </c>
      <c r="G32" s="3">
        <v>15000</v>
      </c>
      <c r="H32" s="3" t="str">
        <f t="shared" si="0"/>
        <v>$_</v>
      </c>
      <c r="I32" t="s">
        <v>13</v>
      </c>
      <c r="J32" s="3">
        <f>SUM(Table4[[#This Row],[Sales Amount]]-Table4[[#This Row],[Target]])</f>
        <v>-4096.8000000000011</v>
      </c>
    </row>
    <row r="33" spans="1:10" ht="15" hidden="1" thickTop="1" x14ac:dyDescent="0.35">
      <c r="A33" s="2">
        <v>44197</v>
      </c>
      <c r="B33" t="s">
        <v>32</v>
      </c>
      <c r="C33" t="s">
        <v>33</v>
      </c>
      <c r="D33" t="s">
        <v>34</v>
      </c>
      <c r="E33" t="s">
        <v>24</v>
      </c>
      <c r="F33" s="3">
        <v>14616</v>
      </c>
      <c r="G33" s="3">
        <v>15000</v>
      </c>
      <c r="H33" s="3" t="str">
        <f t="shared" si="0"/>
        <v>$_</v>
      </c>
      <c r="I33" t="s">
        <v>13</v>
      </c>
      <c r="J33" s="3">
        <f>SUM(Table4[[#This Row],[Sales Amount]]-Table4[[#This Row],[Target]])</f>
        <v>-384</v>
      </c>
    </row>
    <row r="34" spans="1:10" ht="15" hidden="1" thickTop="1" x14ac:dyDescent="0.35">
      <c r="A34" s="2">
        <v>44197</v>
      </c>
      <c r="B34" t="s">
        <v>45</v>
      </c>
      <c r="C34" t="s">
        <v>46</v>
      </c>
      <c r="D34" t="s">
        <v>47</v>
      </c>
      <c r="E34" t="s">
        <v>24</v>
      </c>
      <c r="F34" s="3">
        <v>18885.900000000001</v>
      </c>
      <c r="G34" s="3">
        <v>15000</v>
      </c>
      <c r="H34" s="3">
        <f t="shared" si="0"/>
        <v>1888.5900000000001</v>
      </c>
      <c r="I34" t="s">
        <v>41</v>
      </c>
      <c r="J34" s="3">
        <f>SUM(Table4[[#This Row],[Sales Amount]]-Table4[[#This Row],[Target]])</f>
        <v>3885.9000000000015</v>
      </c>
    </row>
    <row r="35" spans="1:10" ht="15" hidden="1" thickTop="1" x14ac:dyDescent="0.35">
      <c r="A35" s="2">
        <v>44197</v>
      </c>
      <c r="B35" t="s">
        <v>45</v>
      </c>
      <c r="C35" t="s">
        <v>46</v>
      </c>
      <c r="D35" t="s">
        <v>47</v>
      </c>
      <c r="E35" t="s">
        <v>24</v>
      </c>
      <c r="F35" s="3">
        <v>24236</v>
      </c>
      <c r="G35" s="3">
        <v>15000</v>
      </c>
      <c r="H35" s="3">
        <f t="shared" si="0"/>
        <v>2423.6</v>
      </c>
      <c r="I35" t="s">
        <v>9</v>
      </c>
      <c r="J35" s="3">
        <f>SUM(Table4[[#This Row],[Sales Amount]]-Table4[[#This Row],[Target]])</f>
        <v>9236</v>
      </c>
    </row>
    <row r="36" spans="1:10" ht="15" hidden="1" thickTop="1" x14ac:dyDescent="0.35">
      <c r="A36" s="2">
        <v>44228</v>
      </c>
      <c r="B36" t="s">
        <v>25</v>
      </c>
      <c r="C36" t="s">
        <v>26</v>
      </c>
      <c r="D36" t="s">
        <v>27</v>
      </c>
      <c r="E36" t="s">
        <v>8</v>
      </c>
      <c r="F36" s="3">
        <v>7717.5</v>
      </c>
      <c r="G36" s="3">
        <v>15000</v>
      </c>
      <c r="H36" s="3" t="str">
        <f t="shared" si="0"/>
        <v>$_</v>
      </c>
      <c r="I36" t="s">
        <v>41</v>
      </c>
      <c r="J36" s="3">
        <f>SUM(Table4[[#This Row],[Sales Amount]]-Table4[[#This Row],[Target]])</f>
        <v>-7282.5</v>
      </c>
    </row>
    <row r="37" spans="1:10" ht="15" hidden="1" thickTop="1" x14ac:dyDescent="0.35">
      <c r="A37" s="2">
        <v>44228</v>
      </c>
      <c r="B37" t="s">
        <v>25</v>
      </c>
      <c r="C37" t="s">
        <v>26</v>
      </c>
      <c r="D37" t="s">
        <v>27</v>
      </c>
      <c r="E37" t="s">
        <v>8</v>
      </c>
      <c r="F37" s="3">
        <v>11617.6</v>
      </c>
      <c r="G37" s="3">
        <v>15000</v>
      </c>
      <c r="H37" s="3" t="str">
        <f t="shared" si="0"/>
        <v>$_</v>
      </c>
      <c r="I37" t="s">
        <v>13</v>
      </c>
      <c r="J37" s="3">
        <f>SUM(Table4[[#This Row],[Sales Amount]]-Table4[[#This Row],[Target]])</f>
        <v>-3382.3999999999996</v>
      </c>
    </row>
    <row r="38" spans="1:10" ht="15" hidden="1" thickTop="1" x14ac:dyDescent="0.35">
      <c r="A38" s="2">
        <v>44228</v>
      </c>
      <c r="B38" t="s">
        <v>10</v>
      </c>
      <c r="C38" t="s">
        <v>11</v>
      </c>
      <c r="D38" t="s">
        <v>12</v>
      </c>
      <c r="E38" t="s">
        <v>8</v>
      </c>
      <c r="F38" s="3">
        <v>19431</v>
      </c>
      <c r="G38" s="3">
        <v>15000</v>
      </c>
      <c r="H38" s="3">
        <f t="shared" si="0"/>
        <v>1943.1000000000001</v>
      </c>
      <c r="I38" t="s">
        <v>13</v>
      </c>
      <c r="J38" s="3">
        <f>SUM(Table4[[#This Row],[Sales Amount]]-Table4[[#This Row],[Target]])</f>
        <v>4431</v>
      </c>
    </row>
    <row r="39" spans="1:10" ht="15" hidden="1" thickTop="1" x14ac:dyDescent="0.35">
      <c r="A39" s="2">
        <v>44228</v>
      </c>
      <c r="B39" t="s">
        <v>5</v>
      </c>
      <c r="C39" t="s">
        <v>6</v>
      </c>
      <c r="D39" t="s">
        <v>7</v>
      </c>
      <c r="E39" t="s">
        <v>8</v>
      </c>
      <c r="F39" s="3">
        <v>21169.599999999999</v>
      </c>
      <c r="G39" s="3">
        <v>15000</v>
      </c>
      <c r="H39" s="3">
        <f t="shared" si="0"/>
        <v>2116.96</v>
      </c>
      <c r="I39" t="s">
        <v>13</v>
      </c>
      <c r="J39" s="3">
        <f>SUM(Table4[[#This Row],[Sales Amount]]-Table4[[#This Row],[Target]])</f>
        <v>6169.5999999999985</v>
      </c>
    </row>
    <row r="40" spans="1:10" ht="15" hidden="1" thickTop="1" x14ac:dyDescent="0.35">
      <c r="A40" s="2">
        <v>44228</v>
      </c>
      <c r="B40" t="s">
        <v>14</v>
      </c>
      <c r="C40" t="s">
        <v>15</v>
      </c>
      <c r="D40" t="s">
        <v>16</v>
      </c>
      <c r="E40" t="s">
        <v>8</v>
      </c>
      <c r="F40" s="3">
        <v>29158.400000000001</v>
      </c>
      <c r="G40" s="3">
        <v>15000</v>
      </c>
      <c r="H40" s="3">
        <f t="shared" si="0"/>
        <v>2915.84</v>
      </c>
      <c r="I40" t="s">
        <v>13</v>
      </c>
      <c r="J40" s="3">
        <f>SUM(Table4[[#This Row],[Sales Amount]]-Table4[[#This Row],[Target]])</f>
        <v>14158.400000000001</v>
      </c>
    </row>
    <row r="41" spans="1:10" ht="15" hidden="1" thickTop="1" x14ac:dyDescent="0.35">
      <c r="A41" s="2">
        <v>44228</v>
      </c>
      <c r="B41" t="s">
        <v>10</v>
      </c>
      <c r="C41" t="s">
        <v>11</v>
      </c>
      <c r="D41" t="s">
        <v>12</v>
      </c>
      <c r="E41" t="s">
        <v>8</v>
      </c>
      <c r="F41" s="3">
        <v>30305</v>
      </c>
      <c r="G41" s="3">
        <v>15000</v>
      </c>
      <c r="H41" s="3">
        <f t="shared" si="0"/>
        <v>3030.5</v>
      </c>
      <c r="I41" t="s">
        <v>9</v>
      </c>
      <c r="J41" s="3">
        <f>SUM(Table4[[#This Row],[Sales Amount]]-Table4[[#This Row],[Target]])</f>
        <v>15305</v>
      </c>
    </row>
    <row r="42" spans="1:10" ht="15" hidden="1" thickTop="1" x14ac:dyDescent="0.35">
      <c r="A42" s="2">
        <v>44228</v>
      </c>
      <c r="B42" t="s">
        <v>25</v>
      </c>
      <c r="C42" t="s">
        <v>26</v>
      </c>
      <c r="D42" t="s">
        <v>27</v>
      </c>
      <c r="E42" t="s">
        <v>8</v>
      </c>
      <c r="F42" s="3">
        <v>43184.399999999994</v>
      </c>
      <c r="G42" s="3">
        <v>15000</v>
      </c>
      <c r="H42" s="3">
        <f t="shared" si="0"/>
        <v>4318.4399999999996</v>
      </c>
      <c r="I42" t="s">
        <v>41</v>
      </c>
      <c r="J42" s="3">
        <f>SUM(Table4[[#This Row],[Sales Amount]]-Table4[[#This Row],[Target]])</f>
        <v>28184.399999999994</v>
      </c>
    </row>
    <row r="43" spans="1:10" ht="15" hidden="1" thickTop="1" x14ac:dyDescent="0.35">
      <c r="A43" s="2">
        <v>44228</v>
      </c>
      <c r="B43" t="s">
        <v>17</v>
      </c>
      <c r="C43" t="s">
        <v>18</v>
      </c>
      <c r="D43" t="s">
        <v>19</v>
      </c>
      <c r="E43" t="s">
        <v>20</v>
      </c>
      <c r="F43" s="3">
        <v>4531</v>
      </c>
      <c r="G43" s="3">
        <v>15000</v>
      </c>
      <c r="H43" s="3" t="str">
        <f t="shared" si="0"/>
        <v>$_</v>
      </c>
      <c r="I43" t="s">
        <v>41</v>
      </c>
      <c r="J43" s="3">
        <f>SUM(Table4[[#This Row],[Sales Amount]]-Table4[[#This Row],[Target]])</f>
        <v>-10469</v>
      </c>
    </row>
    <row r="44" spans="1:10" ht="15" hidden="1" thickTop="1" x14ac:dyDescent="0.35">
      <c r="A44" s="2">
        <v>44228</v>
      </c>
      <c r="B44" t="s">
        <v>35</v>
      </c>
      <c r="C44" t="s">
        <v>36</v>
      </c>
      <c r="D44" t="s">
        <v>37</v>
      </c>
      <c r="E44" t="s">
        <v>20</v>
      </c>
      <c r="F44" s="3">
        <v>6751.7999999999993</v>
      </c>
      <c r="G44" s="3">
        <v>15000</v>
      </c>
      <c r="H44" s="3" t="str">
        <f t="shared" si="0"/>
        <v>$_</v>
      </c>
      <c r="I44" t="s">
        <v>13</v>
      </c>
      <c r="J44" s="3">
        <f>SUM(Table4[[#This Row],[Sales Amount]]-Table4[[#This Row],[Target]])</f>
        <v>-8248.2000000000007</v>
      </c>
    </row>
    <row r="45" spans="1:10" ht="15" hidden="1" thickTop="1" x14ac:dyDescent="0.35">
      <c r="A45" s="2">
        <v>44228</v>
      </c>
      <c r="B45" t="s">
        <v>17</v>
      </c>
      <c r="C45" t="s">
        <v>18</v>
      </c>
      <c r="D45" t="s">
        <v>19</v>
      </c>
      <c r="E45" t="s">
        <v>20</v>
      </c>
      <c r="F45" s="3">
        <v>7343.2000000000007</v>
      </c>
      <c r="G45" s="3">
        <v>15000</v>
      </c>
      <c r="H45" s="3" t="str">
        <f t="shared" si="0"/>
        <v>$_</v>
      </c>
      <c r="I45" t="s">
        <v>13</v>
      </c>
      <c r="J45" s="3">
        <f>SUM(Table4[[#This Row],[Sales Amount]]-Table4[[#This Row],[Target]])</f>
        <v>-7656.7999999999993</v>
      </c>
    </row>
    <row r="46" spans="1:10" ht="15" hidden="1" thickTop="1" x14ac:dyDescent="0.35">
      <c r="A46" s="2">
        <v>44228</v>
      </c>
      <c r="B46" t="s">
        <v>17</v>
      </c>
      <c r="C46" t="s">
        <v>18</v>
      </c>
      <c r="D46" t="s">
        <v>19</v>
      </c>
      <c r="E46" t="s">
        <v>20</v>
      </c>
      <c r="F46" s="3">
        <v>7356.5999999999995</v>
      </c>
      <c r="G46" s="3">
        <v>15000</v>
      </c>
      <c r="H46" s="3" t="str">
        <f t="shared" si="0"/>
        <v>$_</v>
      </c>
      <c r="I46" t="s">
        <v>9</v>
      </c>
      <c r="J46" s="3">
        <f>SUM(Table4[[#This Row],[Sales Amount]]-Table4[[#This Row],[Target]])</f>
        <v>-7643.4000000000005</v>
      </c>
    </row>
    <row r="47" spans="1:10" ht="15" hidden="1" thickTop="1" x14ac:dyDescent="0.35">
      <c r="A47" s="2">
        <v>44228</v>
      </c>
      <c r="B47" t="s">
        <v>35</v>
      </c>
      <c r="C47" t="s">
        <v>36</v>
      </c>
      <c r="D47" t="s">
        <v>37</v>
      </c>
      <c r="E47" t="s">
        <v>20</v>
      </c>
      <c r="F47" s="3">
        <v>17748</v>
      </c>
      <c r="G47" s="3">
        <v>15000</v>
      </c>
      <c r="H47" s="3">
        <f t="shared" si="0"/>
        <v>1774.8000000000002</v>
      </c>
      <c r="I47" t="s">
        <v>9</v>
      </c>
      <c r="J47" s="3">
        <f>SUM(Table4[[#This Row],[Sales Amount]]-Table4[[#This Row],[Target]])</f>
        <v>2748</v>
      </c>
    </row>
    <row r="48" spans="1:10" ht="15" hidden="1" thickTop="1" x14ac:dyDescent="0.35">
      <c r="A48" s="2">
        <v>44228</v>
      </c>
      <c r="B48" t="s">
        <v>17</v>
      </c>
      <c r="C48" t="s">
        <v>18</v>
      </c>
      <c r="D48" t="s">
        <v>19</v>
      </c>
      <c r="E48" t="s">
        <v>20</v>
      </c>
      <c r="F48" s="3">
        <v>28395.5</v>
      </c>
      <c r="G48" s="3">
        <v>15000</v>
      </c>
      <c r="H48" s="3">
        <f t="shared" si="0"/>
        <v>2839.55</v>
      </c>
      <c r="I48" t="s">
        <v>41</v>
      </c>
      <c r="J48" s="3">
        <f>SUM(Table4[[#This Row],[Sales Amount]]-Table4[[#This Row],[Target]])</f>
        <v>13395.5</v>
      </c>
    </row>
    <row r="49" spans="1:10" ht="15" hidden="1" thickTop="1" x14ac:dyDescent="0.35">
      <c r="A49" s="2">
        <v>44228</v>
      </c>
      <c r="B49" t="s">
        <v>42</v>
      </c>
      <c r="C49" t="s">
        <v>43</v>
      </c>
      <c r="D49" t="s">
        <v>44</v>
      </c>
      <c r="E49" t="s">
        <v>20</v>
      </c>
      <c r="F49" s="3">
        <v>41429.5</v>
      </c>
      <c r="G49" s="3">
        <v>15000</v>
      </c>
      <c r="H49" s="3">
        <f t="shared" si="0"/>
        <v>4142.95</v>
      </c>
      <c r="I49" t="s">
        <v>13</v>
      </c>
      <c r="J49" s="3">
        <f>SUM(Table4[[#This Row],[Sales Amount]]-Table4[[#This Row],[Target]])</f>
        <v>26429.5</v>
      </c>
    </row>
    <row r="50" spans="1:10" ht="15" hidden="1" thickTop="1" x14ac:dyDescent="0.35">
      <c r="A50" s="2">
        <v>44228</v>
      </c>
      <c r="B50" t="s">
        <v>57</v>
      </c>
      <c r="C50" t="s">
        <v>58</v>
      </c>
      <c r="D50" t="s">
        <v>59</v>
      </c>
      <c r="E50" t="s">
        <v>31</v>
      </c>
      <c r="F50" s="3">
        <v>13479.400000000001</v>
      </c>
      <c r="G50" s="3">
        <v>15000</v>
      </c>
      <c r="H50" s="3" t="str">
        <f t="shared" si="0"/>
        <v>$_</v>
      </c>
      <c r="I50" t="s">
        <v>41</v>
      </c>
      <c r="J50" s="3">
        <f>SUM(Table4[[#This Row],[Sales Amount]]-Table4[[#This Row],[Target]])</f>
        <v>-1520.5999999999985</v>
      </c>
    </row>
    <row r="51" spans="1:10" ht="15" hidden="1" thickTop="1" x14ac:dyDescent="0.35">
      <c r="A51" s="2">
        <v>44228</v>
      </c>
      <c r="B51" t="s">
        <v>28</v>
      </c>
      <c r="C51" t="s">
        <v>29</v>
      </c>
      <c r="D51" t="s">
        <v>30</v>
      </c>
      <c r="E51" t="s">
        <v>31</v>
      </c>
      <c r="F51" s="3">
        <v>16604.400000000001</v>
      </c>
      <c r="G51" s="3">
        <v>15000</v>
      </c>
      <c r="H51" s="3">
        <f t="shared" si="0"/>
        <v>1660.4400000000003</v>
      </c>
      <c r="I51" t="s">
        <v>13</v>
      </c>
      <c r="J51" s="3">
        <f>SUM(Table4[[#This Row],[Sales Amount]]-Table4[[#This Row],[Target]])</f>
        <v>1604.4000000000015</v>
      </c>
    </row>
    <row r="52" spans="1:10" ht="15" hidden="1" thickTop="1" x14ac:dyDescent="0.35">
      <c r="A52" s="2">
        <v>44228</v>
      </c>
      <c r="B52" t="s">
        <v>69</v>
      </c>
      <c r="C52" t="s">
        <v>70</v>
      </c>
      <c r="D52" t="s">
        <v>71</v>
      </c>
      <c r="E52" t="s">
        <v>31</v>
      </c>
      <c r="F52" s="3">
        <v>22176</v>
      </c>
      <c r="G52" s="3">
        <v>15000</v>
      </c>
      <c r="H52" s="3">
        <f t="shared" si="0"/>
        <v>2217.6</v>
      </c>
      <c r="I52" t="s">
        <v>13</v>
      </c>
      <c r="J52" s="3">
        <f>SUM(Table4[[#This Row],[Sales Amount]]-Table4[[#This Row],[Target]])</f>
        <v>7176</v>
      </c>
    </row>
    <row r="53" spans="1:10" ht="15" hidden="1" thickTop="1" x14ac:dyDescent="0.35">
      <c r="A53" s="2">
        <v>44228</v>
      </c>
      <c r="B53" t="s">
        <v>57</v>
      </c>
      <c r="C53" t="s">
        <v>58</v>
      </c>
      <c r="D53" t="s">
        <v>59</v>
      </c>
      <c r="E53" t="s">
        <v>31</v>
      </c>
      <c r="F53" s="3">
        <v>24131.000000000004</v>
      </c>
      <c r="G53" s="3">
        <v>15000</v>
      </c>
      <c r="H53" s="3">
        <f t="shared" si="0"/>
        <v>2413.1000000000004</v>
      </c>
      <c r="I53" t="s">
        <v>13</v>
      </c>
      <c r="J53" s="3">
        <f>SUM(Table4[[#This Row],[Sales Amount]]-Table4[[#This Row],[Target]])</f>
        <v>9131.0000000000036</v>
      </c>
    </row>
    <row r="54" spans="1:10" ht="15" hidden="1" thickTop="1" x14ac:dyDescent="0.35">
      <c r="A54" s="2">
        <v>44228</v>
      </c>
      <c r="B54" t="s">
        <v>28</v>
      </c>
      <c r="C54" t="s">
        <v>29</v>
      </c>
      <c r="D54" t="s">
        <v>30</v>
      </c>
      <c r="E54" t="s">
        <v>31</v>
      </c>
      <c r="F54" s="3">
        <v>34353.5</v>
      </c>
      <c r="G54" s="3">
        <v>15000</v>
      </c>
      <c r="H54" s="3">
        <f t="shared" si="0"/>
        <v>3435.3500000000004</v>
      </c>
      <c r="I54" t="s">
        <v>13</v>
      </c>
      <c r="J54" s="3">
        <f>SUM(Table4[[#This Row],[Sales Amount]]-Table4[[#This Row],[Target]])</f>
        <v>19353.5</v>
      </c>
    </row>
    <row r="55" spans="1:10" ht="15" hidden="1" thickTop="1" x14ac:dyDescent="0.35">
      <c r="A55" s="2">
        <v>44228</v>
      </c>
      <c r="B55" t="s">
        <v>32</v>
      </c>
      <c r="C55" t="s">
        <v>33</v>
      </c>
      <c r="D55" t="s">
        <v>34</v>
      </c>
      <c r="E55" t="s">
        <v>24</v>
      </c>
      <c r="F55" s="3">
        <v>3596</v>
      </c>
      <c r="G55" s="3">
        <v>15000</v>
      </c>
      <c r="H55" s="3" t="str">
        <f t="shared" si="0"/>
        <v>$_</v>
      </c>
      <c r="I55" t="s">
        <v>13</v>
      </c>
      <c r="J55" s="3">
        <f>SUM(Table4[[#This Row],[Sales Amount]]-Table4[[#This Row],[Target]])</f>
        <v>-11404</v>
      </c>
    </row>
    <row r="56" spans="1:10" ht="15" hidden="1" thickTop="1" x14ac:dyDescent="0.35">
      <c r="A56" s="2">
        <v>44228</v>
      </c>
      <c r="B56" t="s">
        <v>54</v>
      </c>
      <c r="C56" t="s">
        <v>55</v>
      </c>
      <c r="D56" t="s">
        <v>56</v>
      </c>
      <c r="E56" t="s">
        <v>24</v>
      </c>
      <c r="F56" s="3">
        <v>6300</v>
      </c>
      <c r="G56" s="3">
        <v>15000</v>
      </c>
      <c r="H56" s="3" t="str">
        <f t="shared" si="0"/>
        <v>$_</v>
      </c>
      <c r="I56" t="s">
        <v>41</v>
      </c>
      <c r="J56" s="3">
        <f>SUM(Table4[[#This Row],[Sales Amount]]-Table4[[#This Row],[Target]])</f>
        <v>-8700</v>
      </c>
    </row>
    <row r="57" spans="1:10" ht="15" hidden="1" thickTop="1" x14ac:dyDescent="0.35">
      <c r="A57" s="2">
        <v>44228</v>
      </c>
      <c r="B57" t="s">
        <v>32</v>
      </c>
      <c r="C57" t="s">
        <v>33</v>
      </c>
      <c r="D57" t="s">
        <v>34</v>
      </c>
      <c r="E57" t="s">
        <v>24</v>
      </c>
      <c r="F57" s="3">
        <v>6804</v>
      </c>
      <c r="G57" s="3">
        <v>15000</v>
      </c>
      <c r="H57" s="3" t="str">
        <f t="shared" si="0"/>
        <v>$_</v>
      </c>
      <c r="I57" t="s">
        <v>9</v>
      </c>
      <c r="J57" s="3">
        <f>SUM(Table4[[#This Row],[Sales Amount]]-Table4[[#This Row],[Target]])</f>
        <v>-8196</v>
      </c>
    </row>
    <row r="58" spans="1:10" ht="15" hidden="1" thickTop="1" x14ac:dyDescent="0.35">
      <c r="A58" s="2">
        <v>44228</v>
      </c>
      <c r="B58" t="s">
        <v>48</v>
      </c>
      <c r="C58" t="s">
        <v>49</v>
      </c>
      <c r="D58" t="s">
        <v>50</v>
      </c>
      <c r="E58" t="s">
        <v>24</v>
      </c>
      <c r="F58" s="3">
        <v>8524.4000000000015</v>
      </c>
      <c r="G58" s="3">
        <v>15000</v>
      </c>
      <c r="H58" s="3" t="str">
        <f t="shared" si="0"/>
        <v>$_</v>
      </c>
      <c r="I58" t="s">
        <v>41</v>
      </c>
      <c r="J58" s="3">
        <f>SUM(Table4[[#This Row],[Sales Amount]]-Table4[[#This Row],[Target]])</f>
        <v>-6475.5999999999985</v>
      </c>
    </row>
    <row r="59" spans="1:10" ht="15" hidden="1" thickTop="1" x14ac:dyDescent="0.35">
      <c r="A59" s="2">
        <v>44228</v>
      </c>
      <c r="B59" t="s">
        <v>32</v>
      </c>
      <c r="C59" t="s">
        <v>33</v>
      </c>
      <c r="D59" t="s">
        <v>34</v>
      </c>
      <c r="E59" t="s">
        <v>24</v>
      </c>
      <c r="F59" s="3">
        <v>8772</v>
      </c>
      <c r="G59" s="3">
        <v>15000</v>
      </c>
      <c r="H59" s="3" t="str">
        <f t="shared" si="0"/>
        <v>$_</v>
      </c>
      <c r="I59" t="s">
        <v>41</v>
      </c>
      <c r="J59" s="3">
        <f>SUM(Table4[[#This Row],[Sales Amount]]-Table4[[#This Row],[Target]])</f>
        <v>-6228</v>
      </c>
    </row>
    <row r="60" spans="1:10" ht="15" hidden="1" thickTop="1" x14ac:dyDescent="0.35">
      <c r="A60" s="2">
        <v>44228</v>
      </c>
      <c r="B60" t="s">
        <v>32</v>
      </c>
      <c r="C60" t="s">
        <v>33</v>
      </c>
      <c r="D60" t="s">
        <v>34</v>
      </c>
      <c r="E60" t="s">
        <v>24</v>
      </c>
      <c r="F60" s="3">
        <v>17328.300000000003</v>
      </c>
      <c r="G60" s="3">
        <v>15000</v>
      </c>
      <c r="H60" s="3">
        <f t="shared" si="0"/>
        <v>1732.8300000000004</v>
      </c>
      <c r="I60" t="s">
        <v>41</v>
      </c>
      <c r="J60" s="3">
        <f>SUM(Table4[[#This Row],[Sales Amount]]-Table4[[#This Row],[Target]])</f>
        <v>2328.3000000000029</v>
      </c>
    </row>
    <row r="61" spans="1:10" ht="15" hidden="1" thickTop="1" x14ac:dyDescent="0.35">
      <c r="A61" s="2">
        <v>44228</v>
      </c>
      <c r="B61" t="s">
        <v>54</v>
      </c>
      <c r="C61" t="s">
        <v>55</v>
      </c>
      <c r="D61" t="s">
        <v>56</v>
      </c>
      <c r="E61" t="s">
        <v>24</v>
      </c>
      <c r="F61" s="3">
        <v>21438.899999999998</v>
      </c>
      <c r="G61" s="3">
        <v>15000</v>
      </c>
      <c r="H61" s="3">
        <f t="shared" si="0"/>
        <v>2143.89</v>
      </c>
      <c r="I61" t="s">
        <v>9</v>
      </c>
      <c r="J61" s="3">
        <f>SUM(Table4[[#This Row],[Sales Amount]]-Table4[[#This Row],[Target]])</f>
        <v>6438.8999999999978</v>
      </c>
    </row>
    <row r="62" spans="1:10" ht="15" hidden="1" thickTop="1" x14ac:dyDescent="0.35">
      <c r="A62" s="2">
        <v>44228</v>
      </c>
      <c r="B62" t="s">
        <v>48</v>
      </c>
      <c r="C62" t="s">
        <v>49</v>
      </c>
      <c r="D62" t="s">
        <v>50</v>
      </c>
      <c r="E62" t="s">
        <v>24</v>
      </c>
      <c r="F62" s="3">
        <v>26556.799999999999</v>
      </c>
      <c r="G62" s="3">
        <v>15000</v>
      </c>
      <c r="H62" s="3">
        <f t="shared" si="0"/>
        <v>2655.6800000000003</v>
      </c>
      <c r="I62" t="s">
        <v>13</v>
      </c>
      <c r="J62" s="3">
        <f>SUM(Table4[[#This Row],[Sales Amount]]-Table4[[#This Row],[Target]])</f>
        <v>11556.8</v>
      </c>
    </row>
    <row r="63" spans="1:10" ht="15" hidden="1" thickTop="1" x14ac:dyDescent="0.35">
      <c r="A63" s="2">
        <v>44228</v>
      </c>
      <c r="B63" t="s">
        <v>48</v>
      </c>
      <c r="C63" t="s">
        <v>49</v>
      </c>
      <c r="D63" t="s">
        <v>50</v>
      </c>
      <c r="E63" t="s">
        <v>24</v>
      </c>
      <c r="F63" s="3">
        <v>33132.600000000006</v>
      </c>
      <c r="G63" s="3">
        <v>15000</v>
      </c>
      <c r="H63" s="3">
        <f t="shared" si="0"/>
        <v>3313.2600000000007</v>
      </c>
      <c r="I63" t="s">
        <v>41</v>
      </c>
      <c r="J63" s="3">
        <f>SUM(Table4[[#This Row],[Sales Amount]]-Table4[[#This Row],[Target]])</f>
        <v>18132.600000000006</v>
      </c>
    </row>
    <row r="64" spans="1:10" ht="15" hidden="1" thickTop="1" x14ac:dyDescent="0.35">
      <c r="A64" s="2">
        <v>44256</v>
      </c>
      <c r="B64" t="s">
        <v>10</v>
      </c>
      <c r="C64" t="s">
        <v>11</v>
      </c>
      <c r="D64" t="s">
        <v>12</v>
      </c>
      <c r="E64" t="s">
        <v>8</v>
      </c>
      <c r="F64" s="3">
        <v>2311.5</v>
      </c>
      <c r="G64" s="3">
        <v>15000</v>
      </c>
      <c r="H64" s="3" t="str">
        <f t="shared" si="0"/>
        <v>$_</v>
      </c>
      <c r="I64" t="s">
        <v>13</v>
      </c>
      <c r="J64" s="3">
        <f>SUM(Table4[[#This Row],[Sales Amount]]-Table4[[#This Row],[Target]])</f>
        <v>-12688.5</v>
      </c>
    </row>
    <row r="65" spans="1:10" ht="15" hidden="1" thickTop="1" x14ac:dyDescent="0.35">
      <c r="A65" s="2">
        <v>44256</v>
      </c>
      <c r="B65" t="s">
        <v>25</v>
      </c>
      <c r="C65" t="s">
        <v>26</v>
      </c>
      <c r="D65" t="s">
        <v>27</v>
      </c>
      <c r="E65" t="s">
        <v>8</v>
      </c>
      <c r="F65" s="3">
        <v>3013.5</v>
      </c>
      <c r="G65" s="3">
        <v>15000</v>
      </c>
      <c r="H65" s="3" t="str">
        <f t="shared" si="0"/>
        <v>$_</v>
      </c>
      <c r="I65" t="s">
        <v>13</v>
      </c>
      <c r="J65" s="3">
        <f>SUM(Table4[[#This Row],[Sales Amount]]-Table4[[#This Row],[Target]])</f>
        <v>-11986.5</v>
      </c>
    </row>
    <row r="66" spans="1:10" ht="15" hidden="1" thickTop="1" x14ac:dyDescent="0.35">
      <c r="A66" s="2">
        <v>44256</v>
      </c>
      <c r="B66" t="s">
        <v>25</v>
      </c>
      <c r="C66" t="s">
        <v>26</v>
      </c>
      <c r="D66" t="s">
        <v>27</v>
      </c>
      <c r="E66" t="s">
        <v>8</v>
      </c>
      <c r="F66" s="3">
        <v>5287.5</v>
      </c>
      <c r="G66" s="3">
        <v>15000</v>
      </c>
      <c r="H66" s="3" t="str">
        <f t="shared" ref="H66:H129" si="1">IF(F66&gt;=G66, F66*Commission, "$_")</f>
        <v>$_</v>
      </c>
      <c r="I66" t="s">
        <v>13</v>
      </c>
      <c r="J66" s="3">
        <f>SUM(Table4[[#This Row],[Sales Amount]]-Table4[[#This Row],[Target]])</f>
        <v>-9712.5</v>
      </c>
    </row>
    <row r="67" spans="1:10" ht="15" hidden="1" thickTop="1" x14ac:dyDescent="0.35">
      <c r="A67" s="2">
        <v>44256</v>
      </c>
      <c r="B67" t="s">
        <v>14</v>
      </c>
      <c r="C67" t="s">
        <v>15</v>
      </c>
      <c r="D67" t="s">
        <v>16</v>
      </c>
      <c r="E67" t="s">
        <v>8</v>
      </c>
      <c r="F67" s="3">
        <v>13797</v>
      </c>
      <c r="G67" s="3">
        <v>15000</v>
      </c>
      <c r="H67" s="3" t="str">
        <f t="shared" si="1"/>
        <v>$_</v>
      </c>
      <c r="I67" t="s">
        <v>9</v>
      </c>
      <c r="J67" s="3">
        <f>SUM(Table4[[#This Row],[Sales Amount]]-Table4[[#This Row],[Target]])</f>
        <v>-1203</v>
      </c>
    </row>
    <row r="68" spans="1:10" ht="15" hidden="1" thickTop="1" x14ac:dyDescent="0.35">
      <c r="A68" s="2">
        <v>44256</v>
      </c>
      <c r="B68" t="s">
        <v>66</v>
      </c>
      <c r="C68" t="s">
        <v>67</v>
      </c>
      <c r="D68" t="s">
        <v>68</v>
      </c>
      <c r="E68" t="s">
        <v>8</v>
      </c>
      <c r="F68" s="3">
        <v>14063</v>
      </c>
      <c r="G68" s="3">
        <v>15000</v>
      </c>
      <c r="H68" s="3" t="str">
        <f t="shared" si="1"/>
        <v>$_</v>
      </c>
      <c r="I68" t="s">
        <v>13</v>
      </c>
      <c r="J68" s="3">
        <f>SUM(Table4[[#This Row],[Sales Amount]]-Table4[[#This Row],[Target]])</f>
        <v>-937</v>
      </c>
    </row>
    <row r="69" spans="1:10" ht="15" hidden="1" thickTop="1" x14ac:dyDescent="0.35">
      <c r="A69" s="2">
        <v>44256</v>
      </c>
      <c r="B69" t="s">
        <v>14</v>
      </c>
      <c r="C69" t="s">
        <v>15</v>
      </c>
      <c r="D69" t="s">
        <v>16</v>
      </c>
      <c r="E69" t="s">
        <v>8</v>
      </c>
      <c r="F69" s="3">
        <v>14608.300000000001</v>
      </c>
      <c r="G69" s="3">
        <v>15000</v>
      </c>
      <c r="H69" s="3" t="str">
        <f t="shared" si="1"/>
        <v>$_</v>
      </c>
      <c r="I69" t="s">
        <v>9</v>
      </c>
      <c r="J69" s="3">
        <f>SUM(Table4[[#This Row],[Sales Amount]]-Table4[[#This Row],[Target]])</f>
        <v>-391.69999999999891</v>
      </c>
    </row>
    <row r="70" spans="1:10" ht="15" hidden="1" thickTop="1" x14ac:dyDescent="0.35">
      <c r="A70" s="2">
        <v>44256</v>
      </c>
      <c r="B70" t="s">
        <v>25</v>
      </c>
      <c r="C70" t="s">
        <v>26</v>
      </c>
      <c r="D70" t="s">
        <v>27</v>
      </c>
      <c r="E70" t="s">
        <v>8</v>
      </c>
      <c r="F70" s="3">
        <v>16063.199999999999</v>
      </c>
      <c r="G70" s="3">
        <v>15000</v>
      </c>
      <c r="H70" s="3">
        <f t="shared" si="1"/>
        <v>1606.32</v>
      </c>
      <c r="I70" t="s">
        <v>13</v>
      </c>
      <c r="J70" s="3">
        <f>SUM(Table4[[#This Row],[Sales Amount]]-Table4[[#This Row],[Target]])</f>
        <v>1063.1999999999989</v>
      </c>
    </row>
    <row r="71" spans="1:10" ht="15" hidden="1" thickTop="1" x14ac:dyDescent="0.35">
      <c r="A71" s="2">
        <v>44256</v>
      </c>
      <c r="B71" t="s">
        <v>10</v>
      </c>
      <c r="C71" t="s">
        <v>11</v>
      </c>
      <c r="D71" t="s">
        <v>12</v>
      </c>
      <c r="E71" t="s">
        <v>8</v>
      </c>
      <c r="F71" s="3">
        <v>16836</v>
      </c>
      <c r="G71" s="3">
        <v>15000</v>
      </c>
      <c r="H71" s="3">
        <f t="shared" si="1"/>
        <v>1683.6000000000001</v>
      </c>
      <c r="I71" t="s">
        <v>9</v>
      </c>
      <c r="J71" s="3">
        <f>SUM(Table4[[#This Row],[Sales Amount]]-Table4[[#This Row],[Target]])</f>
        <v>1836</v>
      </c>
    </row>
    <row r="72" spans="1:10" ht="15" hidden="1" thickTop="1" x14ac:dyDescent="0.35">
      <c r="A72" s="2">
        <v>44256</v>
      </c>
      <c r="B72" t="s">
        <v>25</v>
      </c>
      <c r="C72" t="s">
        <v>26</v>
      </c>
      <c r="D72" t="s">
        <v>27</v>
      </c>
      <c r="E72" t="s">
        <v>8</v>
      </c>
      <c r="F72" s="3">
        <v>19594</v>
      </c>
      <c r="G72" s="3">
        <v>15000</v>
      </c>
      <c r="H72" s="3">
        <f t="shared" si="1"/>
        <v>1959.4</v>
      </c>
      <c r="I72" t="s">
        <v>41</v>
      </c>
      <c r="J72" s="3">
        <f>SUM(Table4[[#This Row],[Sales Amount]]-Table4[[#This Row],[Target]])</f>
        <v>4594</v>
      </c>
    </row>
    <row r="73" spans="1:10" ht="15" hidden="1" thickTop="1" x14ac:dyDescent="0.35">
      <c r="A73" s="2">
        <v>44256</v>
      </c>
      <c r="B73" t="s">
        <v>10</v>
      </c>
      <c r="C73" t="s">
        <v>11</v>
      </c>
      <c r="D73" t="s">
        <v>12</v>
      </c>
      <c r="E73" t="s">
        <v>8</v>
      </c>
      <c r="F73" s="3">
        <v>21654.400000000001</v>
      </c>
      <c r="G73" s="3">
        <v>15000</v>
      </c>
      <c r="H73" s="3">
        <f t="shared" si="1"/>
        <v>2165.44</v>
      </c>
      <c r="I73" t="s">
        <v>13</v>
      </c>
      <c r="J73" s="3">
        <f>SUM(Table4[[#This Row],[Sales Amount]]-Table4[[#This Row],[Target]])</f>
        <v>6654.4000000000015</v>
      </c>
    </row>
    <row r="74" spans="1:10" ht="15" hidden="1" thickTop="1" x14ac:dyDescent="0.35">
      <c r="A74" s="2">
        <v>44256</v>
      </c>
      <c r="B74" t="s">
        <v>66</v>
      </c>
      <c r="C74" t="s">
        <v>67</v>
      </c>
      <c r="D74" t="s">
        <v>68</v>
      </c>
      <c r="E74" t="s">
        <v>8</v>
      </c>
      <c r="F74" s="3">
        <v>27930</v>
      </c>
      <c r="G74" s="3">
        <v>15000</v>
      </c>
      <c r="H74" s="3">
        <f t="shared" si="1"/>
        <v>2793</v>
      </c>
      <c r="I74" t="s">
        <v>9</v>
      </c>
      <c r="J74" s="3">
        <f>SUM(Table4[[#This Row],[Sales Amount]]-Table4[[#This Row],[Target]])</f>
        <v>12930</v>
      </c>
    </row>
    <row r="75" spans="1:10" ht="15" hidden="1" thickTop="1" x14ac:dyDescent="0.35">
      <c r="A75" s="2">
        <v>44256</v>
      </c>
      <c r="B75" t="s">
        <v>5</v>
      </c>
      <c r="C75" t="s">
        <v>6</v>
      </c>
      <c r="D75" t="s">
        <v>7</v>
      </c>
      <c r="E75" t="s">
        <v>8</v>
      </c>
      <c r="F75" s="3">
        <v>39065.899999999994</v>
      </c>
      <c r="G75" s="3">
        <v>15000</v>
      </c>
      <c r="H75" s="3">
        <f t="shared" si="1"/>
        <v>3906.5899999999997</v>
      </c>
      <c r="I75" t="s">
        <v>13</v>
      </c>
      <c r="J75" s="3">
        <f>SUM(Table4[[#This Row],[Sales Amount]]-Table4[[#This Row],[Target]])</f>
        <v>24065.899999999994</v>
      </c>
    </row>
    <row r="76" spans="1:10" ht="15" hidden="1" thickTop="1" x14ac:dyDescent="0.35">
      <c r="A76" s="2">
        <v>44256</v>
      </c>
      <c r="B76" t="s">
        <v>25</v>
      </c>
      <c r="C76" t="s">
        <v>26</v>
      </c>
      <c r="D76" t="s">
        <v>27</v>
      </c>
      <c r="E76" t="s">
        <v>8</v>
      </c>
      <c r="F76" s="3">
        <v>44422</v>
      </c>
      <c r="G76" s="3">
        <v>15000</v>
      </c>
      <c r="H76" s="3">
        <f t="shared" si="1"/>
        <v>4442.2</v>
      </c>
      <c r="I76" t="s">
        <v>41</v>
      </c>
      <c r="J76" s="3">
        <f>SUM(Table4[[#This Row],[Sales Amount]]-Table4[[#This Row],[Target]])</f>
        <v>29422</v>
      </c>
    </row>
    <row r="77" spans="1:10" ht="15" hidden="1" thickTop="1" x14ac:dyDescent="0.35">
      <c r="A77" s="2">
        <v>44256</v>
      </c>
      <c r="B77" t="s">
        <v>63</v>
      </c>
      <c r="C77" t="s">
        <v>64</v>
      </c>
      <c r="D77" t="s">
        <v>65</v>
      </c>
      <c r="E77" t="s">
        <v>20</v>
      </c>
      <c r="F77" s="3">
        <v>6708.9</v>
      </c>
      <c r="G77" s="3">
        <v>15000</v>
      </c>
      <c r="H77" s="3" t="str">
        <f t="shared" si="1"/>
        <v>$_</v>
      </c>
      <c r="I77" t="s">
        <v>41</v>
      </c>
      <c r="J77" s="3">
        <f>SUM(Table4[[#This Row],[Sales Amount]]-Table4[[#This Row],[Target]])</f>
        <v>-8291.1</v>
      </c>
    </row>
    <row r="78" spans="1:10" ht="15" hidden="1" thickTop="1" x14ac:dyDescent="0.35">
      <c r="A78" s="2">
        <v>44256</v>
      </c>
      <c r="B78" t="s">
        <v>51</v>
      </c>
      <c r="C78" t="s">
        <v>52</v>
      </c>
      <c r="D78" t="s">
        <v>53</v>
      </c>
      <c r="E78" t="s">
        <v>20</v>
      </c>
      <c r="F78" s="3">
        <v>7982.7</v>
      </c>
      <c r="G78" s="3">
        <v>15000</v>
      </c>
      <c r="H78" s="3" t="str">
        <f t="shared" si="1"/>
        <v>$_</v>
      </c>
      <c r="I78" t="s">
        <v>41</v>
      </c>
      <c r="J78" s="3">
        <f>SUM(Table4[[#This Row],[Sales Amount]]-Table4[[#This Row],[Target]])</f>
        <v>-7017.3</v>
      </c>
    </row>
    <row r="79" spans="1:10" ht="15" hidden="1" thickTop="1" x14ac:dyDescent="0.35">
      <c r="A79" s="2">
        <v>44256</v>
      </c>
      <c r="B79" t="s">
        <v>42</v>
      </c>
      <c r="C79" t="s">
        <v>43</v>
      </c>
      <c r="D79" t="s">
        <v>44</v>
      </c>
      <c r="E79" t="s">
        <v>20</v>
      </c>
      <c r="F79" s="3">
        <v>8694</v>
      </c>
      <c r="G79" s="3">
        <v>15000</v>
      </c>
      <c r="H79" s="3" t="str">
        <f t="shared" si="1"/>
        <v>$_</v>
      </c>
      <c r="I79" t="s">
        <v>9</v>
      </c>
      <c r="J79" s="3">
        <f>SUM(Table4[[#This Row],[Sales Amount]]-Table4[[#This Row],[Target]])</f>
        <v>-6306</v>
      </c>
    </row>
    <row r="80" spans="1:10" ht="15" hidden="1" thickTop="1" x14ac:dyDescent="0.35">
      <c r="A80" s="2">
        <v>44256</v>
      </c>
      <c r="B80" t="s">
        <v>42</v>
      </c>
      <c r="C80" t="s">
        <v>43</v>
      </c>
      <c r="D80" t="s">
        <v>44</v>
      </c>
      <c r="E80" t="s">
        <v>20</v>
      </c>
      <c r="F80" s="3">
        <v>9116</v>
      </c>
      <c r="G80" s="3">
        <v>15000</v>
      </c>
      <c r="H80" s="3" t="str">
        <f t="shared" si="1"/>
        <v>$_</v>
      </c>
      <c r="I80" t="s">
        <v>9</v>
      </c>
      <c r="J80" s="3">
        <f>SUM(Table4[[#This Row],[Sales Amount]]-Table4[[#This Row],[Target]])</f>
        <v>-5884</v>
      </c>
    </row>
    <row r="81" spans="1:10" ht="15" hidden="1" thickTop="1" x14ac:dyDescent="0.35">
      <c r="A81" s="2">
        <v>44256</v>
      </c>
      <c r="B81" t="s">
        <v>51</v>
      </c>
      <c r="C81" t="s">
        <v>52</v>
      </c>
      <c r="D81" t="s">
        <v>53</v>
      </c>
      <c r="E81" t="s">
        <v>20</v>
      </c>
      <c r="F81" s="3">
        <v>10110.299999999999</v>
      </c>
      <c r="G81" s="3">
        <v>15000</v>
      </c>
      <c r="H81" s="3" t="str">
        <f t="shared" si="1"/>
        <v>$_</v>
      </c>
      <c r="I81" t="s">
        <v>9</v>
      </c>
      <c r="J81" s="3">
        <f>SUM(Table4[[#This Row],[Sales Amount]]-Table4[[#This Row],[Target]])</f>
        <v>-4889.7000000000007</v>
      </c>
    </row>
    <row r="82" spans="1:10" ht="15" hidden="1" thickTop="1" x14ac:dyDescent="0.35">
      <c r="A82" s="2">
        <v>44256</v>
      </c>
      <c r="B82" t="s">
        <v>17</v>
      </c>
      <c r="C82" t="s">
        <v>18</v>
      </c>
      <c r="D82" t="s">
        <v>19</v>
      </c>
      <c r="E82" t="s">
        <v>20</v>
      </c>
      <c r="F82" s="3">
        <v>10451.199999999999</v>
      </c>
      <c r="G82" s="3">
        <v>15000</v>
      </c>
      <c r="H82" s="3" t="str">
        <f t="shared" si="1"/>
        <v>$_</v>
      </c>
      <c r="I82" t="s">
        <v>9</v>
      </c>
      <c r="J82" s="3">
        <f>SUM(Table4[[#This Row],[Sales Amount]]-Table4[[#This Row],[Target]])</f>
        <v>-4548.8000000000011</v>
      </c>
    </row>
    <row r="83" spans="1:10" ht="15" hidden="1" thickTop="1" x14ac:dyDescent="0.35">
      <c r="A83" s="2">
        <v>44256</v>
      </c>
      <c r="B83" t="s">
        <v>17</v>
      </c>
      <c r="C83" t="s">
        <v>18</v>
      </c>
      <c r="D83" t="s">
        <v>19</v>
      </c>
      <c r="E83" t="s">
        <v>20</v>
      </c>
      <c r="F83" s="3">
        <v>11580.4</v>
      </c>
      <c r="G83" s="3">
        <v>15000</v>
      </c>
      <c r="H83" s="3" t="str">
        <f t="shared" si="1"/>
        <v>$_</v>
      </c>
      <c r="I83" t="s">
        <v>13</v>
      </c>
      <c r="J83" s="3">
        <f>SUM(Table4[[#This Row],[Sales Amount]]-Table4[[#This Row],[Target]])</f>
        <v>-3419.6000000000004</v>
      </c>
    </row>
    <row r="84" spans="1:10" ht="15" hidden="1" thickTop="1" x14ac:dyDescent="0.35">
      <c r="A84" s="2">
        <v>44256</v>
      </c>
      <c r="B84" t="s">
        <v>42</v>
      </c>
      <c r="C84" t="s">
        <v>43</v>
      </c>
      <c r="D84" t="s">
        <v>44</v>
      </c>
      <c r="E84" t="s">
        <v>20</v>
      </c>
      <c r="F84" s="3">
        <v>14329.5</v>
      </c>
      <c r="G84" s="3">
        <v>15000</v>
      </c>
      <c r="H84" s="3" t="str">
        <f t="shared" si="1"/>
        <v>$_</v>
      </c>
      <c r="I84" t="s">
        <v>9</v>
      </c>
      <c r="J84" s="3">
        <f>SUM(Table4[[#This Row],[Sales Amount]]-Table4[[#This Row],[Target]])</f>
        <v>-670.5</v>
      </c>
    </row>
    <row r="85" spans="1:10" ht="15" hidden="1" thickTop="1" x14ac:dyDescent="0.35">
      <c r="A85" s="2">
        <v>44256</v>
      </c>
      <c r="B85" t="s">
        <v>42</v>
      </c>
      <c r="C85" t="s">
        <v>43</v>
      </c>
      <c r="D85" t="s">
        <v>44</v>
      </c>
      <c r="E85" t="s">
        <v>20</v>
      </c>
      <c r="F85" s="3">
        <v>20128</v>
      </c>
      <c r="G85" s="3">
        <v>15000</v>
      </c>
      <c r="H85" s="3">
        <f t="shared" si="1"/>
        <v>2012.8000000000002</v>
      </c>
      <c r="I85" t="s">
        <v>41</v>
      </c>
      <c r="J85" s="3">
        <f>SUM(Table4[[#This Row],[Sales Amount]]-Table4[[#This Row],[Target]])</f>
        <v>5128</v>
      </c>
    </row>
    <row r="86" spans="1:10" ht="15" hidden="1" thickTop="1" x14ac:dyDescent="0.35">
      <c r="A86" s="2">
        <v>44256</v>
      </c>
      <c r="B86" t="s">
        <v>63</v>
      </c>
      <c r="C86" t="s">
        <v>64</v>
      </c>
      <c r="D86" t="s">
        <v>65</v>
      </c>
      <c r="E86" t="s">
        <v>20</v>
      </c>
      <c r="F86" s="3">
        <v>21167.999999999996</v>
      </c>
      <c r="G86" s="3">
        <v>15000</v>
      </c>
      <c r="H86" s="3">
        <f t="shared" si="1"/>
        <v>2116.7999999999997</v>
      </c>
      <c r="I86" t="s">
        <v>9</v>
      </c>
      <c r="J86" s="3">
        <f>SUM(Table4[[#This Row],[Sales Amount]]-Table4[[#This Row],[Target]])</f>
        <v>6167.9999999999964</v>
      </c>
    </row>
    <row r="87" spans="1:10" ht="15" hidden="1" thickTop="1" x14ac:dyDescent="0.35">
      <c r="A87" s="2">
        <v>44256</v>
      </c>
      <c r="B87" t="s">
        <v>35</v>
      </c>
      <c r="C87" t="s">
        <v>36</v>
      </c>
      <c r="D87" t="s">
        <v>37</v>
      </c>
      <c r="E87" t="s">
        <v>20</v>
      </c>
      <c r="F87" s="3">
        <v>25102.399999999998</v>
      </c>
      <c r="G87" s="3">
        <v>15000</v>
      </c>
      <c r="H87" s="3">
        <f t="shared" si="1"/>
        <v>2510.2399999999998</v>
      </c>
      <c r="I87" t="s">
        <v>13</v>
      </c>
      <c r="J87" s="3">
        <f>SUM(Table4[[#This Row],[Sales Amount]]-Table4[[#This Row],[Target]])</f>
        <v>10102.399999999998</v>
      </c>
    </row>
    <row r="88" spans="1:10" ht="15" hidden="1" thickTop="1" x14ac:dyDescent="0.35">
      <c r="A88" s="2">
        <v>44256</v>
      </c>
      <c r="B88" t="s">
        <v>35</v>
      </c>
      <c r="C88" t="s">
        <v>36</v>
      </c>
      <c r="D88" t="s">
        <v>37</v>
      </c>
      <c r="E88" t="s">
        <v>20</v>
      </c>
      <c r="F88" s="3">
        <v>27670.9</v>
      </c>
      <c r="G88" s="3">
        <v>15000</v>
      </c>
      <c r="H88" s="3">
        <f t="shared" si="1"/>
        <v>2767.09</v>
      </c>
      <c r="I88" t="s">
        <v>41</v>
      </c>
      <c r="J88" s="3">
        <f>SUM(Table4[[#This Row],[Sales Amount]]-Table4[[#This Row],[Target]])</f>
        <v>12670.900000000001</v>
      </c>
    </row>
    <row r="89" spans="1:10" ht="15" hidden="1" thickTop="1" x14ac:dyDescent="0.35">
      <c r="A89" s="2">
        <v>44256</v>
      </c>
      <c r="B89" t="s">
        <v>35</v>
      </c>
      <c r="C89" t="s">
        <v>36</v>
      </c>
      <c r="D89" t="s">
        <v>37</v>
      </c>
      <c r="E89" t="s">
        <v>20</v>
      </c>
      <c r="F89" s="3">
        <v>27956.799999999999</v>
      </c>
      <c r="G89" s="3">
        <v>15000</v>
      </c>
      <c r="H89" s="3">
        <f t="shared" si="1"/>
        <v>2795.6800000000003</v>
      </c>
      <c r="I89" t="s">
        <v>13</v>
      </c>
      <c r="J89" s="3">
        <f>SUM(Table4[[#This Row],[Sales Amount]]-Table4[[#This Row],[Target]])</f>
        <v>12956.8</v>
      </c>
    </row>
    <row r="90" spans="1:10" ht="15" hidden="1" thickTop="1" x14ac:dyDescent="0.35">
      <c r="A90" s="2">
        <v>44256</v>
      </c>
      <c r="B90" t="s">
        <v>42</v>
      </c>
      <c r="C90" t="s">
        <v>43</v>
      </c>
      <c r="D90" t="s">
        <v>44</v>
      </c>
      <c r="E90" t="s">
        <v>20</v>
      </c>
      <c r="F90" s="3">
        <v>31407</v>
      </c>
      <c r="G90" s="3">
        <v>15000</v>
      </c>
      <c r="H90" s="3">
        <f t="shared" si="1"/>
        <v>3140.7000000000003</v>
      </c>
      <c r="I90" t="s">
        <v>13</v>
      </c>
      <c r="J90" s="3">
        <f>SUM(Table4[[#This Row],[Sales Amount]]-Table4[[#This Row],[Target]])</f>
        <v>16407</v>
      </c>
    </row>
    <row r="91" spans="1:10" ht="15" hidden="1" thickTop="1" x14ac:dyDescent="0.35">
      <c r="A91" s="2">
        <v>44256</v>
      </c>
      <c r="B91" t="s">
        <v>51</v>
      </c>
      <c r="C91" t="s">
        <v>52</v>
      </c>
      <c r="D91" t="s">
        <v>53</v>
      </c>
      <c r="E91" t="s">
        <v>20</v>
      </c>
      <c r="F91" s="3">
        <v>35647.5</v>
      </c>
      <c r="G91" s="3">
        <v>15000</v>
      </c>
      <c r="H91" s="3">
        <f t="shared" si="1"/>
        <v>3564.75</v>
      </c>
      <c r="I91" t="s">
        <v>41</v>
      </c>
      <c r="J91" s="3">
        <f>SUM(Table4[[#This Row],[Sales Amount]]-Table4[[#This Row],[Target]])</f>
        <v>20647.5</v>
      </c>
    </row>
    <row r="92" spans="1:10" ht="15" hidden="1" thickTop="1" x14ac:dyDescent="0.35">
      <c r="A92" s="2">
        <v>44256</v>
      </c>
      <c r="B92" t="s">
        <v>51</v>
      </c>
      <c r="C92" t="s">
        <v>52</v>
      </c>
      <c r="D92" t="s">
        <v>53</v>
      </c>
      <c r="E92" t="s">
        <v>20</v>
      </c>
      <c r="F92" s="3">
        <v>36907.200000000004</v>
      </c>
      <c r="G92" s="3">
        <v>15000</v>
      </c>
      <c r="H92" s="3">
        <f t="shared" si="1"/>
        <v>3690.7200000000007</v>
      </c>
      <c r="I92" t="s">
        <v>13</v>
      </c>
      <c r="J92" s="3">
        <f>SUM(Table4[[#This Row],[Sales Amount]]-Table4[[#This Row],[Target]])</f>
        <v>21907.200000000004</v>
      </c>
    </row>
    <row r="93" spans="1:10" ht="15" hidden="1" thickTop="1" x14ac:dyDescent="0.35">
      <c r="A93" s="2">
        <v>44256</v>
      </c>
      <c r="B93" t="s">
        <v>60</v>
      </c>
      <c r="C93" t="s">
        <v>61</v>
      </c>
      <c r="D93" t="s">
        <v>62</v>
      </c>
      <c r="E93" t="s">
        <v>31</v>
      </c>
      <c r="F93" s="3">
        <v>7416.9</v>
      </c>
      <c r="G93" s="3">
        <v>15000</v>
      </c>
      <c r="H93" s="3" t="str">
        <f t="shared" si="1"/>
        <v>$_</v>
      </c>
      <c r="I93" t="s">
        <v>41</v>
      </c>
      <c r="J93" s="3">
        <f>SUM(Table4[[#This Row],[Sales Amount]]-Table4[[#This Row],[Target]])</f>
        <v>-7583.1</v>
      </c>
    </row>
    <row r="94" spans="1:10" ht="15" hidden="1" thickTop="1" x14ac:dyDescent="0.35">
      <c r="A94" s="2">
        <v>44256</v>
      </c>
      <c r="B94" t="s">
        <v>38</v>
      </c>
      <c r="C94" t="s">
        <v>39</v>
      </c>
      <c r="D94" t="s">
        <v>40</v>
      </c>
      <c r="E94" t="s">
        <v>31</v>
      </c>
      <c r="F94" s="3">
        <v>8284.5</v>
      </c>
      <c r="G94" s="3">
        <v>15000</v>
      </c>
      <c r="H94" s="3" t="str">
        <f t="shared" si="1"/>
        <v>$_</v>
      </c>
      <c r="I94" t="s">
        <v>13</v>
      </c>
      <c r="J94" s="3">
        <f>SUM(Table4[[#This Row],[Sales Amount]]-Table4[[#This Row],[Target]])</f>
        <v>-6715.5</v>
      </c>
    </row>
    <row r="95" spans="1:10" ht="15" hidden="1" thickTop="1" x14ac:dyDescent="0.35">
      <c r="A95" s="2">
        <v>44256</v>
      </c>
      <c r="B95" t="s">
        <v>28</v>
      </c>
      <c r="C95" t="s">
        <v>29</v>
      </c>
      <c r="D95" t="s">
        <v>30</v>
      </c>
      <c r="E95" t="s">
        <v>31</v>
      </c>
      <c r="F95" s="3">
        <v>10758.7</v>
      </c>
      <c r="G95" s="3">
        <v>15000</v>
      </c>
      <c r="H95" s="3" t="str">
        <f t="shared" si="1"/>
        <v>$_</v>
      </c>
      <c r="I95" t="s">
        <v>13</v>
      </c>
      <c r="J95" s="3">
        <f>SUM(Table4[[#This Row],[Sales Amount]]-Table4[[#This Row],[Target]])</f>
        <v>-4241.2999999999993</v>
      </c>
    </row>
    <row r="96" spans="1:10" ht="15" hidden="1" thickTop="1" x14ac:dyDescent="0.35">
      <c r="A96" s="2">
        <v>44256</v>
      </c>
      <c r="B96" t="s">
        <v>57</v>
      </c>
      <c r="C96" t="s">
        <v>58</v>
      </c>
      <c r="D96" t="s">
        <v>59</v>
      </c>
      <c r="E96" t="s">
        <v>31</v>
      </c>
      <c r="F96" s="3">
        <v>12124.2</v>
      </c>
      <c r="G96" s="3">
        <v>15000</v>
      </c>
      <c r="H96" s="3" t="str">
        <f t="shared" si="1"/>
        <v>$_</v>
      </c>
      <c r="I96" t="s">
        <v>41</v>
      </c>
      <c r="J96" s="3">
        <f>SUM(Table4[[#This Row],[Sales Amount]]-Table4[[#This Row],[Target]])</f>
        <v>-2875.7999999999993</v>
      </c>
    </row>
    <row r="97" spans="1:10" ht="15" hidden="1" thickTop="1" x14ac:dyDescent="0.35">
      <c r="A97" s="2">
        <v>44256</v>
      </c>
      <c r="B97" t="s">
        <v>60</v>
      </c>
      <c r="C97" t="s">
        <v>61</v>
      </c>
      <c r="D97" t="s">
        <v>62</v>
      </c>
      <c r="E97" t="s">
        <v>31</v>
      </c>
      <c r="F97" s="3">
        <v>14391.999999999998</v>
      </c>
      <c r="G97" s="3">
        <v>15000</v>
      </c>
      <c r="H97" s="3" t="str">
        <f t="shared" si="1"/>
        <v>$_</v>
      </c>
      <c r="I97" t="s">
        <v>9</v>
      </c>
      <c r="J97" s="3">
        <f>SUM(Table4[[#This Row],[Sales Amount]]-Table4[[#This Row],[Target]])</f>
        <v>-608.00000000000182</v>
      </c>
    </row>
    <row r="98" spans="1:10" ht="15" hidden="1" thickTop="1" x14ac:dyDescent="0.35">
      <c r="A98" s="2">
        <v>44256</v>
      </c>
      <c r="B98" t="s">
        <v>38</v>
      </c>
      <c r="C98" t="s">
        <v>39</v>
      </c>
      <c r="D98" t="s">
        <v>40</v>
      </c>
      <c r="E98" t="s">
        <v>31</v>
      </c>
      <c r="F98" s="3">
        <v>15246</v>
      </c>
      <c r="G98" s="3">
        <v>15000</v>
      </c>
      <c r="H98" s="3">
        <f t="shared" si="1"/>
        <v>1524.6000000000001</v>
      </c>
      <c r="I98" t="s">
        <v>9</v>
      </c>
      <c r="J98" s="3">
        <f>SUM(Table4[[#This Row],[Sales Amount]]-Table4[[#This Row],[Target]])</f>
        <v>246</v>
      </c>
    </row>
    <row r="99" spans="1:10" ht="15" hidden="1" thickTop="1" x14ac:dyDescent="0.35">
      <c r="A99" s="2">
        <v>44256</v>
      </c>
      <c r="B99" t="s">
        <v>60</v>
      </c>
      <c r="C99" t="s">
        <v>61</v>
      </c>
      <c r="D99" t="s">
        <v>62</v>
      </c>
      <c r="E99" t="s">
        <v>31</v>
      </c>
      <c r="F99" s="3">
        <v>17335.2</v>
      </c>
      <c r="G99" s="3">
        <v>15000</v>
      </c>
      <c r="H99" s="3">
        <f t="shared" si="1"/>
        <v>1733.5200000000002</v>
      </c>
      <c r="I99" t="s">
        <v>41</v>
      </c>
      <c r="J99" s="3">
        <f>SUM(Table4[[#This Row],[Sales Amount]]-Table4[[#This Row],[Target]])</f>
        <v>2335.2000000000007</v>
      </c>
    </row>
    <row r="100" spans="1:10" ht="15" hidden="1" thickTop="1" x14ac:dyDescent="0.35">
      <c r="A100" s="2">
        <v>44256</v>
      </c>
      <c r="B100" t="s">
        <v>38</v>
      </c>
      <c r="C100" t="s">
        <v>39</v>
      </c>
      <c r="D100" t="s">
        <v>40</v>
      </c>
      <c r="E100" t="s">
        <v>31</v>
      </c>
      <c r="F100" s="3">
        <v>40831</v>
      </c>
      <c r="G100" s="3">
        <v>15000</v>
      </c>
      <c r="H100" s="3">
        <f t="shared" si="1"/>
        <v>4083.1000000000004</v>
      </c>
      <c r="I100" t="s">
        <v>9</v>
      </c>
      <c r="J100" s="3">
        <f>SUM(Table4[[#This Row],[Sales Amount]]-Table4[[#This Row],[Target]])</f>
        <v>25831</v>
      </c>
    </row>
    <row r="101" spans="1:10" ht="15" hidden="1" thickTop="1" x14ac:dyDescent="0.35">
      <c r="A101" s="2">
        <v>44256</v>
      </c>
      <c r="B101" t="s">
        <v>32</v>
      </c>
      <c r="C101" t="s">
        <v>33</v>
      </c>
      <c r="D101" t="s">
        <v>34</v>
      </c>
      <c r="E101" t="s">
        <v>24</v>
      </c>
      <c r="F101" s="3">
        <v>6544.8</v>
      </c>
      <c r="G101" s="3">
        <v>15000</v>
      </c>
      <c r="H101" s="3" t="str">
        <f t="shared" si="1"/>
        <v>$_</v>
      </c>
      <c r="I101" t="s">
        <v>9</v>
      </c>
      <c r="J101" s="3">
        <f>SUM(Table4[[#This Row],[Sales Amount]]-Table4[[#This Row],[Target]])</f>
        <v>-8455.2000000000007</v>
      </c>
    </row>
    <row r="102" spans="1:10" ht="15" hidden="1" thickTop="1" x14ac:dyDescent="0.35">
      <c r="A102" s="2">
        <v>44256</v>
      </c>
      <c r="B102" t="s">
        <v>48</v>
      </c>
      <c r="C102" t="s">
        <v>49</v>
      </c>
      <c r="D102" t="s">
        <v>50</v>
      </c>
      <c r="E102" t="s">
        <v>24</v>
      </c>
      <c r="F102" s="3">
        <v>11166.300000000001</v>
      </c>
      <c r="G102" s="3">
        <v>15000</v>
      </c>
      <c r="H102" s="3" t="str">
        <f t="shared" si="1"/>
        <v>$_</v>
      </c>
      <c r="I102" t="s">
        <v>13</v>
      </c>
      <c r="J102" s="3">
        <f>SUM(Table4[[#This Row],[Sales Amount]]-Table4[[#This Row],[Target]])</f>
        <v>-3833.6999999999989</v>
      </c>
    </row>
    <row r="103" spans="1:10" ht="15" hidden="1" thickTop="1" x14ac:dyDescent="0.35">
      <c r="A103" s="2">
        <v>44256</v>
      </c>
      <c r="B103" t="s">
        <v>32</v>
      </c>
      <c r="C103" t="s">
        <v>33</v>
      </c>
      <c r="D103" t="s">
        <v>34</v>
      </c>
      <c r="E103" t="s">
        <v>24</v>
      </c>
      <c r="F103" s="3">
        <v>11403</v>
      </c>
      <c r="G103" s="3">
        <v>15000</v>
      </c>
      <c r="H103" s="3" t="str">
        <f t="shared" si="1"/>
        <v>$_</v>
      </c>
      <c r="I103" t="s">
        <v>13</v>
      </c>
      <c r="J103" s="3">
        <f>SUM(Table4[[#This Row],[Sales Amount]]-Table4[[#This Row],[Target]])</f>
        <v>-3597</v>
      </c>
    </row>
    <row r="104" spans="1:10" ht="15" hidden="1" thickTop="1" x14ac:dyDescent="0.35">
      <c r="A104" s="2">
        <v>44256</v>
      </c>
      <c r="B104" t="s">
        <v>32</v>
      </c>
      <c r="C104" t="s">
        <v>33</v>
      </c>
      <c r="D104" t="s">
        <v>34</v>
      </c>
      <c r="E104" t="s">
        <v>24</v>
      </c>
      <c r="F104" s="3">
        <v>11554.400000000001</v>
      </c>
      <c r="G104" s="3">
        <v>15000</v>
      </c>
      <c r="H104" s="3" t="str">
        <f t="shared" si="1"/>
        <v>$_</v>
      </c>
      <c r="I104" t="s">
        <v>13</v>
      </c>
      <c r="J104" s="3">
        <f>SUM(Table4[[#This Row],[Sales Amount]]-Table4[[#This Row],[Target]])</f>
        <v>-3445.5999999999985</v>
      </c>
    </row>
    <row r="105" spans="1:10" ht="15" hidden="1" thickTop="1" x14ac:dyDescent="0.35">
      <c r="A105" s="2">
        <v>44256</v>
      </c>
      <c r="B105" t="s">
        <v>21</v>
      </c>
      <c r="C105" t="s">
        <v>22</v>
      </c>
      <c r="D105" t="s">
        <v>23</v>
      </c>
      <c r="E105" t="s">
        <v>24</v>
      </c>
      <c r="F105" s="3">
        <v>12143.999999999998</v>
      </c>
      <c r="G105" s="3">
        <v>15000</v>
      </c>
      <c r="H105" s="3" t="str">
        <f t="shared" si="1"/>
        <v>$_</v>
      </c>
      <c r="I105" t="s">
        <v>13</v>
      </c>
      <c r="J105" s="3">
        <f>SUM(Table4[[#This Row],[Sales Amount]]-Table4[[#This Row],[Target]])</f>
        <v>-2856.0000000000018</v>
      </c>
    </row>
    <row r="106" spans="1:10" ht="15" hidden="1" thickTop="1" x14ac:dyDescent="0.35">
      <c r="A106" s="2">
        <v>44256</v>
      </c>
      <c r="B106" t="s">
        <v>21</v>
      </c>
      <c r="C106" t="s">
        <v>22</v>
      </c>
      <c r="D106" t="s">
        <v>23</v>
      </c>
      <c r="E106" t="s">
        <v>24</v>
      </c>
      <c r="F106" s="3">
        <v>13244.7</v>
      </c>
      <c r="G106" s="3">
        <v>15000</v>
      </c>
      <c r="H106" s="3" t="str">
        <f t="shared" si="1"/>
        <v>$_</v>
      </c>
      <c r="I106" t="s">
        <v>9</v>
      </c>
      <c r="J106" s="3">
        <f>SUM(Table4[[#This Row],[Sales Amount]]-Table4[[#This Row],[Target]])</f>
        <v>-1755.2999999999993</v>
      </c>
    </row>
    <row r="107" spans="1:10" ht="15" hidden="1" thickTop="1" x14ac:dyDescent="0.35">
      <c r="A107" s="2">
        <v>44256</v>
      </c>
      <c r="B107" t="s">
        <v>45</v>
      </c>
      <c r="C107" t="s">
        <v>46</v>
      </c>
      <c r="D107" t="s">
        <v>47</v>
      </c>
      <c r="E107" t="s">
        <v>24</v>
      </c>
      <c r="F107" s="3">
        <v>23014.400000000001</v>
      </c>
      <c r="G107" s="3">
        <v>15000</v>
      </c>
      <c r="H107" s="3">
        <f t="shared" si="1"/>
        <v>2301.44</v>
      </c>
      <c r="I107" t="s">
        <v>9</v>
      </c>
      <c r="J107" s="3">
        <f>SUM(Table4[[#This Row],[Sales Amount]]-Table4[[#This Row],[Target]])</f>
        <v>8014.4000000000015</v>
      </c>
    </row>
    <row r="108" spans="1:10" ht="15" hidden="1" thickTop="1" x14ac:dyDescent="0.35">
      <c r="A108" s="2">
        <v>44256</v>
      </c>
      <c r="B108" t="s">
        <v>21</v>
      </c>
      <c r="C108" t="s">
        <v>22</v>
      </c>
      <c r="D108" t="s">
        <v>23</v>
      </c>
      <c r="E108" t="s">
        <v>24</v>
      </c>
      <c r="F108" s="3">
        <v>26200</v>
      </c>
      <c r="G108" s="3">
        <v>15000</v>
      </c>
      <c r="H108" s="3">
        <f t="shared" si="1"/>
        <v>2620</v>
      </c>
      <c r="I108" t="s">
        <v>13</v>
      </c>
      <c r="J108" s="3">
        <f>SUM(Table4[[#This Row],[Sales Amount]]-Table4[[#This Row],[Target]])</f>
        <v>11200</v>
      </c>
    </row>
    <row r="109" spans="1:10" ht="15" hidden="1" thickTop="1" x14ac:dyDescent="0.35">
      <c r="A109" s="2">
        <v>44256</v>
      </c>
      <c r="B109" t="s">
        <v>48</v>
      </c>
      <c r="C109" t="s">
        <v>49</v>
      </c>
      <c r="D109" t="s">
        <v>50</v>
      </c>
      <c r="E109" t="s">
        <v>24</v>
      </c>
      <c r="F109" s="3">
        <v>28286.399999999998</v>
      </c>
      <c r="G109" s="3">
        <v>15000</v>
      </c>
      <c r="H109" s="3">
        <f t="shared" si="1"/>
        <v>2828.64</v>
      </c>
      <c r="I109" t="s">
        <v>9</v>
      </c>
      <c r="J109" s="3">
        <f>SUM(Table4[[#This Row],[Sales Amount]]-Table4[[#This Row],[Target]])</f>
        <v>13286.399999999998</v>
      </c>
    </row>
    <row r="110" spans="1:10" ht="15" hidden="1" thickTop="1" x14ac:dyDescent="0.35">
      <c r="A110" s="2">
        <v>44256</v>
      </c>
      <c r="B110" t="s">
        <v>21</v>
      </c>
      <c r="C110" t="s">
        <v>22</v>
      </c>
      <c r="D110" t="s">
        <v>23</v>
      </c>
      <c r="E110" t="s">
        <v>24</v>
      </c>
      <c r="F110" s="3">
        <v>35715.4</v>
      </c>
      <c r="G110" s="3">
        <v>15000</v>
      </c>
      <c r="H110" s="3">
        <f t="shared" si="1"/>
        <v>3571.5400000000004</v>
      </c>
      <c r="I110" t="s">
        <v>13</v>
      </c>
      <c r="J110" s="3">
        <f>SUM(Table4[[#This Row],[Sales Amount]]-Table4[[#This Row],[Target]])</f>
        <v>20715.400000000001</v>
      </c>
    </row>
    <row r="111" spans="1:10" ht="15" hidden="1" thickTop="1" x14ac:dyDescent="0.35">
      <c r="A111" s="2">
        <v>44287</v>
      </c>
      <c r="B111" t="s">
        <v>66</v>
      </c>
      <c r="C111" t="s">
        <v>67</v>
      </c>
      <c r="D111" t="s">
        <v>68</v>
      </c>
      <c r="E111" t="s">
        <v>8</v>
      </c>
      <c r="F111" s="3">
        <v>7029.9</v>
      </c>
      <c r="G111" s="3">
        <v>15000</v>
      </c>
      <c r="H111" s="3" t="str">
        <f t="shared" si="1"/>
        <v>$_</v>
      </c>
      <c r="I111" t="s">
        <v>41</v>
      </c>
      <c r="J111" s="3">
        <f>SUM(Table4[[#This Row],[Sales Amount]]-Table4[[#This Row],[Target]])</f>
        <v>-7970.1</v>
      </c>
    </row>
    <row r="112" spans="1:10" ht="15" hidden="1" thickTop="1" x14ac:dyDescent="0.35">
      <c r="A112" s="2">
        <v>44287</v>
      </c>
      <c r="B112" t="s">
        <v>66</v>
      </c>
      <c r="C112" t="s">
        <v>67</v>
      </c>
      <c r="D112" t="s">
        <v>68</v>
      </c>
      <c r="E112" t="s">
        <v>8</v>
      </c>
      <c r="F112" s="3">
        <v>11914.400000000001</v>
      </c>
      <c r="G112" s="3">
        <v>15000</v>
      </c>
      <c r="H112" s="3" t="str">
        <f t="shared" si="1"/>
        <v>$_</v>
      </c>
      <c r="I112" t="s">
        <v>13</v>
      </c>
      <c r="J112" s="3">
        <f>SUM(Table4[[#This Row],[Sales Amount]]-Table4[[#This Row],[Target]])</f>
        <v>-3085.5999999999985</v>
      </c>
    </row>
    <row r="113" spans="1:10" ht="15" hidden="1" thickTop="1" x14ac:dyDescent="0.35">
      <c r="A113" s="2">
        <v>44287</v>
      </c>
      <c r="B113" t="s">
        <v>5</v>
      </c>
      <c r="C113" t="s">
        <v>6</v>
      </c>
      <c r="D113" t="s">
        <v>7</v>
      </c>
      <c r="E113" t="s">
        <v>8</v>
      </c>
      <c r="F113" s="3">
        <v>15919.7</v>
      </c>
      <c r="G113" s="3">
        <v>15000</v>
      </c>
      <c r="H113" s="3">
        <f t="shared" si="1"/>
        <v>1591.9700000000003</v>
      </c>
      <c r="I113" t="s">
        <v>9</v>
      </c>
      <c r="J113" s="3">
        <f>SUM(Table4[[#This Row],[Sales Amount]]-Table4[[#This Row],[Target]])</f>
        <v>919.70000000000073</v>
      </c>
    </row>
    <row r="114" spans="1:10" ht="15" hidden="1" thickTop="1" x14ac:dyDescent="0.35">
      <c r="A114" s="2">
        <v>44287</v>
      </c>
      <c r="B114" t="s">
        <v>14</v>
      </c>
      <c r="C114" t="s">
        <v>15</v>
      </c>
      <c r="D114" t="s">
        <v>16</v>
      </c>
      <c r="E114" t="s">
        <v>8</v>
      </c>
      <c r="F114" s="3">
        <v>17776</v>
      </c>
      <c r="G114" s="3">
        <v>15000</v>
      </c>
      <c r="H114" s="3">
        <f t="shared" si="1"/>
        <v>1777.6000000000001</v>
      </c>
      <c r="I114" t="s">
        <v>41</v>
      </c>
      <c r="J114" s="3">
        <f>SUM(Table4[[#This Row],[Sales Amount]]-Table4[[#This Row],[Target]])</f>
        <v>2776</v>
      </c>
    </row>
    <row r="115" spans="1:10" ht="15" hidden="1" thickTop="1" x14ac:dyDescent="0.35">
      <c r="A115" s="2">
        <v>44287</v>
      </c>
      <c r="B115" t="s">
        <v>25</v>
      </c>
      <c r="C115" t="s">
        <v>26</v>
      </c>
      <c r="D115" t="s">
        <v>27</v>
      </c>
      <c r="E115" t="s">
        <v>8</v>
      </c>
      <c r="F115" s="3">
        <v>36666</v>
      </c>
      <c r="G115" s="3">
        <v>15000</v>
      </c>
      <c r="H115" s="3">
        <f t="shared" si="1"/>
        <v>3666.6000000000004</v>
      </c>
      <c r="I115" t="s">
        <v>13</v>
      </c>
      <c r="J115" s="3">
        <f>SUM(Table4[[#This Row],[Sales Amount]]-Table4[[#This Row],[Target]])</f>
        <v>21666</v>
      </c>
    </row>
    <row r="116" spans="1:10" ht="15" hidden="1" thickTop="1" x14ac:dyDescent="0.35">
      <c r="A116" s="2">
        <v>44287</v>
      </c>
      <c r="B116" t="s">
        <v>14</v>
      </c>
      <c r="C116" t="s">
        <v>15</v>
      </c>
      <c r="D116" t="s">
        <v>16</v>
      </c>
      <c r="E116" t="s">
        <v>8</v>
      </c>
      <c r="F116" s="3">
        <v>38227.699999999997</v>
      </c>
      <c r="G116" s="3">
        <v>15000</v>
      </c>
      <c r="H116" s="3">
        <f t="shared" si="1"/>
        <v>3822.77</v>
      </c>
      <c r="I116" t="s">
        <v>9</v>
      </c>
      <c r="J116" s="3">
        <f>SUM(Table4[[#This Row],[Sales Amount]]-Table4[[#This Row],[Target]])</f>
        <v>23227.699999999997</v>
      </c>
    </row>
    <row r="117" spans="1:10" ht="15" hidden="1" thickTop="1" x14ac:dyDescent="0.35">
      <c r="A117" s="2">
        <v>44287</v>
      </c>
      <c r="B117" t="s">
        <v>14</v>
      </c>
      <c r="C117" t="s">
        <v>15</v>
      </c>
      <c r="D117" t="s">
        <v>16</v>
      </c>
      <c r="E117" t="s">
        <v>8</v>
      </c>
      <c r="F117" s="3">
        <v>51531.199999999997</v>
      </c>
      <c r="G117" s="3">
        <v>15000</v>
      </c>
      <c r="H117" s="3">
        <f t="shared" si="1"/>
        <v>5153.12</v>
      </c>
      <c r="I117" t="s">
        <v>41</v>
      </c>
      <c r="J117" s="3">
        <f>SUM(Table4[[#This Row],[Sales Amount]]-Table4[[#This Row],[Target]])</f>
        <v>36531.199999999997</v>
      </c>
    </row>
    <row r="118" spans="1:10" ht="15" hidden="1" thickTop="1" x14ac:dyDescent="0.35">
      <c r="A118" s="2">
        <v>44287</v>
      </c>
      <c r="B118" t="s">
        <v>51</v>
      </c>
      <c r="C118" t="s">
        <v>52</v>
      </c>
      <c r="D118" t="s">
        <v>53</v>
      </c>
      <c r="E118" t="s">
        <v>20</v>
      </c>
      <c r="F118" s="3">
        <v>5696.4</v>
      </c>
      <c r="G118" s="3">
        <v>15000</v>
      </c>
      <c r="H118" s="3" t="str">
        <f t="shared" si="1"/>
        <v>$_</v>
      </c>
      <c r="I118" t="s">
        <v>9</v>
      </c>
      <c r="J118" s="3">
        <f>SUM(Table4[[#This Row],[Sales Amount]]-Table4[[#This Row],[Target]])</f>
        <v>-9303.6</v>
      </c>
    </row>
    <row r="119" spans="1:10" ht="15" hidden="1" thickTop="1" x14ac:dyDescent="0.35">
      <c r="A119" s="2">
        <v>44287</v>
      </c>
      <c r="B119" t="s">
        <v>17</v>
      </c>
      <c r="C119" t="s">
        <v>18</v>
      </c>
      <c r="D119" t="s">
        <v>19</v>
      </c>
      <c r="E119" t="s">
        <v>20</v>
      </c>
      <c r="F119" s="3">
        <v>11716.5</v>
      </c>
      <c r="G119" s="3">
        <v>15000</v>
      </c>
      <c r="H119" s="3" t="str">
        <f t="shared" si="1"/>
        <v>$_</v>
      </c>
      <c r="I119" t="s">
        <v>9</v>
      </c>
      <c r="J119" s="3">
        <f>SUM(Table4[[#This Row],[Sales Amount]]-Table4[[#This Row],[Target]])</f>
        <v>-3283.5</v>
      </c>
    </row>
    <row r="120" spans="1:10" ht="15" hidden="1" thickTop="1" x14ac:dyDescent="0.35">
      <c r="A120" s="2">
        <v>44287</v>
      </c>
      <c r="B120" t="s">
        <v>63</v>
      </c>
      <c r="C120" t="s">
        <v>64</v>
      </c>
      <c r="D120" t="s">
        <v>65</v>
      </c>
      <c r="E120" t="s">
        <v>20</v>
      </c>
      <c r="F120" s="3">
        <v>14416</v>
      </c>
      <c r="G120" s="3">
        <v>15000</v>
      </c>
      <c r="H120" s="3" t="str">
        <f t="shared" si="1"/>
        <v>$_</v>
      </c>
      <c r="I120" t="s">
        <v>41</v>
      </c>
      <c r="J120" s="3">
        <f>SUM(Table4[[#This Row],[Sales Amount]]-Table4[[#This Row],[Target]])</f>
        <v>-584</v>
      </c>
    </row>
    <row r="121" spans="1:10" ht="15" hidden="1" thickTop="1" x14ac:dyDescent="0.35">
      <c r="A121" s="2">
        <v>44287</v>
      </c>
      <c r="B121" t="s">
        <v>17</v>
      </c>
      <c r="C121" t="s">
        <v>18</v>
      </c>
      <c r="D121" t="s">
        <v>19</v>
      </c>
      <c r="E121" t="s">
        <v>20</v>
      </c>
      <c r="F121" s="3">
        <v>16499.400000000001</v>
      </c>
      <c r="G121" s="3">
        <v>15000</v>
      </c>
      <c r="H121" s="3">
        <f t="shared" si="1"/>
        <v>1649.9400000000003</v>
      </c>
      <c r="I121" t="s">
        <v>13</v>
      </c>
      <c r="J121" s="3">
        <f>SUM(Table4[[#This Row],[Sales Amount]]-Table4[[#This Row],[Target]])</f>
        <v>1499.4000000000015</v>
      </c>
    </row>
    <row r="122" spans="1:10" ht="15" hidden="1" thickTop="1" x14ac:dyDescent="0.35">
      <c r="A122" s="2">
        <v>44287</v>
      </c>
      <c r="B122" t="s">
        <v>51</v>
      </c>
      <c r="C122" t="s">
        <v>52</v>
      </c>
      <c r="D122" t="s">
        <v>53</v>
      </c>
      <c r="E122" t="s">
        <v>20</v>
      </c>
      <c r="F122" s="3">
        <v>16968</v>
      </c>
      <c r="G122" s="3">
        <v>15000</v>
      </c>
      <c r="H122" s="3">
        <f t="shared" si="1"/>
        <v>1696.8000000000002</v>
      </c>
      <c r="I122" t="s">
        <v>41</v>
      </c>
      <c r="J122" s="3">
        <f>SUM(Table4[[#This Row],[Sales Amount]]-Table4[[#This Row],[Target]])</f>
        <v>1968</v>
      </c>
    </row>
    <row r="123" spans="1:10" ht="15" hidden="1" thickTop="1" x14ac:dyDescent="0.35">
      <c r="A123" s="2">
        <v>44287</v>
      </c>
      <c r="B123" t="s">
        <v>42</v>
      </c>
      <c r="C123" t="s">
        <v>43</v>
      </c>
      <c r="D123" t="s">
        <v>44</v>
      </c>
      <c r="E123" t="s">
        <v>20</v>
      </c>
      <c r="F123" s="3">
        <v>17993.5</v>
      </c>
      <c r="G123" s="3">
        <v>15000</v>
      </c>
      <c r="H123" s="3">
        <f t="shared" si="1"/>
        <v>1799.3500000000001</v>
      </c>
      <c r="I123" t="s">
        <v>9</v>
      </c>
      <c r="J123" s="3">
        <f>SUM(Table4[[#This Row],[Sales Amount]]-Table4[[#This Row],[Target]])</f>
        <v>2993.5</v>
      </c>
    </row>
    <row r="124" spans="1:10" ht="15" hidden="1" thickTop="1" x14ac:dyDescent="0.35">
      <c r="A124" s="2">
        <v>44287</v>
      </c>
      <c r="B124" t="s">
        <v>51</v>
      </c>
      <c r="C124" t="s">
        <v>52</v>
      </c>
      <c r="D124" t="s">
        <v>53</v>
      </c>
      <c r="E124" t="s">
        <v>20</v>
      </c>
      <c r="F124" s="3">
        <v>18188.399999999998</v>
      </c>
      <c r="G124" s="3">
        <v>15000</v>
      </c>
      <c r="H124" s="3">
        <f t="shared" si="1"/>
        <v>1818.84</v>
      </c>
      <c r="I124" t="s">
        <v>13</v>
      </c>
      <c r="J124" s="3">
        <f>SUM(Table4[[#This Row],[Sales Amount]]-Table4[[#This Row],[Target]])</f>
        <v>3188.3999999999978</v>
      </c>
    </row>
    <row r="125" spans="1:10" ht="15" hidden="1" thickTop="1" x14ac:dyDescent="0.35">
      <c r="A125" s="2">
        <v>44287</v>
      </c>
      <c r="B125" t="s">
        <v>28</v>
      </c>
      <c r="C125" t="s">
        <v>29</v>
      </c>
      <c r="D125" t="s">
        <v>30</v>
      </c>
      <c r="E125" t="s">
        <v>31</v>
      </c>
      <c r="F125" s="3">
        <v>8520</v>
      </c>
      <c r="G125" s="3">
        <v>15000</v>
      </c>
      <c r="H125" s="3" t="str">
        <f t="shared" si="1"/>
        <v>$_</v>
      </c>
      <c r="I125" t="s">
        <v>41</v>
      </c>
      <c r="J125" s="3">
        <f>SUM(Table4[[#This Row],[Sales Amount]]-Table4[[#This Row],[Target]])</f>
        <v>-6480</v>
      </c>
    </row>
    <row r="126" spans="1:10" ht="15" hidden="1" thickTop="1" x14ac:dyDescent="0.35">
      <c r="A126" s="2">
        <v>44287</v>
      </c>
      <c r="B126" t="s">
        <v>60</v>
      </c>
      <c r="C126" t="s">
        <v>61</v>
      </c>
      <c r="D126" t="s">
        <v>62</v>
      </c>
      <c r="E126" t="s">
        <v>31</v>
      </c>
      <c r="F126" s="3">
        <v>14301.599999999999</v>
      </c>
      <c r="G126" s="3">
        <v>15000</v>
      </c>
      <c r="H126" s="3" t="str">
        <f t="shared" si="1"/>
        <v>$_</v>
      </c>
      <c r="I126" t="s">
        <v>41</v>
      </c>
      <c r="J126" s="3">
        <f>SUM(Table4[[#This Row],[Sales Amount]]-Table4[[#This Row],[Target]])</f>
        <v>-698.40000000000146</v>
      </c>
    </row>
    <row r="127" spans="1:10" ht="15" hidden="1" thickTop="1" x14ac:dyDescent="0.35">
      <c r="A127" s="2">
        <v>44287</v>
      </c>
      <c r="B127" t="s">
        <v>60</v>
      </c>
      <c r="C127" t="s">
        <v>61</v>
      </c>
      <c r="D127" t="s">
        <v>62</v>
      </c>
      <c r="E127" t="s">
        <v>31</v>
      </c>
      <c r="F127" s="3">
        <v>17204.399999999998</v>
      </c>
      <c r="G127" s="3">
        <v>15000</v>
      </c>
      <c r="H127" s="3">
        <f t="shared" si="1"/>
        <v>1720.4399999999998</v>
      </c>
      <c r="I127" t="s">
        <v>9</v>
      </c>
      <c r="J127" s="3">
        <f>SUM(Table4[[#This Row],[Sales Amount]]-Table4[[#This Row],[Target]])</f>
        <v>2204.3999999999978</v>
      </c>
    </row>
    <row r="128" spans="1:10" ht="15" hidden="1" thickTop="1" x14ac:dyDescent="0.35">
      <c r="A128" s="2">
        <v>44287</v>
      </c>
      <c r="B128" t="s">
        <v>38</v>
      </c>
      <c r="C128" t="s">
        <v>39</v>
      </c>
      <c r="D128" t="s">
        <v>40</v>
      </c>
      <c r="E128" t="s">
        <v>31</v>
      </c>
      <c r="F128" s="3">
        <v>19080</v>
      </c>
      <c r="G128" s="3">
        <v>15000</v>
      </c>
      <c r="H128" s="3">
        <f t="shared" si="1"/>
        <v>1908</v>
      </c>
      <c r="I128" t="s">
        <v>13</v>
      </c>
      <c r="J128" s="3">
        <f>SUM(Table4[[#This Row],[Sales Amount]]-Table4[[#This Row],[Target]])</f>
        <v>4080</v>
      </c>
    </row>
    <row r="129" spans="1:10" ht="15" hidden="1" thickTop="1" x14ac:dyDescent="0.35">
      <c r="A129" s="2">
        <v>44287</v>
      </c>
      <c r="B129" t="s">
        <v>28</v>
      </c>
      <c r="C129" t="s">
        <v>29</v>
      </c>
      <c r="D129" t="s">
        <v>30</v>
      </c>
      <c r="E129" t="s">
        <v>31</v>
      </c>
      <c r="F129" s="3">
        <v>19210.400000000001</v>
      </c>
      <c r="G129" s="3">
        <v>15000</v>
      </c>
      <c r="H129" s="3">
        <f t="shared" si="1"/>
        <v>1921.0400000000002</v>
      </c>
      <c r="I129" t="s">
        <v>9</v>
      </c>
      <c r="J129" s="3">
        <f>SUM(Table4[[#This Row],[Sales Amount]]-Table4[[#This Row],[Target]])</f>
        <v>4210.4000000000015</v>
      </c>
    </row>
    <row r="130" spans="1:10" ht="15" hidden="1" thickTop="1" x14ac:dyDescent="0.35">
      <c r="A130" s="2">
        <v>44287</v>
      </c>
      <c r="B130" t="s">
        <v>28</v>
      </c>
      <c r="C130" t="s">
        <v>29</v>
      </c>
      <c r="D130" t="s">
        <v>30</v>
      </c>
      <c r="E130" t="s">
        <v>31</v>
      </c>
      <c r="F130" s="3">
        <v>32282.799999999996</v>
      </c>
      <c r="G130" s="3">
        <v>15000</v>
      </c>
      <c r="H130" s="3">
        <f t="shared" ref="H130:H193" si="2">IF(F130&gt;=G130, F130*Commission, "$_")</f>
        <v>3228.2799999999997</v>
      </c>
      <c r="I130" t="s">
        <v>13</v>
      </c>
      <c r="J130" s="3">
        <f>SUM(Table4[[#This Row],[Sales Amount]]-Table4[[#This Row],[Target]])</f>
        <v>17282.799999999996</v>
      </c>
    </row>
    <row r="131" spans="1:10" ht="15" hidden="1" thickTop="1" x14ac:dyDescent="0.35">
      <c r="A131" s="2">
        <v>44287</v>
      </c>
      <c r="B131" t="s">
        <v>69</v>
      </c>
      <c r="C131" t="s">
        <v>70</v>
      </c>
      <c r="D131" t="s">
        <v>71</v>
      </c>
      <c r="E131" t="s">
        <v>31</v>
      </c>
      <c r="F131" s="3">
        <v>32524.1</v>
      </c>
      <c r="G131" s="3">
        <v>15000</v>
      </c>
      <c r="H131" s="3">
        <f t="shared" si="2"/>
        <v>3252.41</v>
      </c>
      <c r="I131" t="s">
        <v>9</v>
      </c>
      <c r="J131" s="3">
        <f>SUM(Table4[[#This Row],[Sales Amount]]-Table4[[#This Row],[Target]])</f>
        <v>17524.099999999999</v>
      </c>
    </row>
    <row r="132" spans="1:10" ht="15" hidden="1" thickTop="1" x14ac:dyDescent="0.35">
      <c r="A132" s="2">
        <v>44287</v>
      </c>
      <c r="B132" t="s">
        <v>28</v>
      </c>
      <c r="C132" t="s">
        <v>29</v>
      </c>
      <c r="D132" t="s">
        <v>30</v>
      </c>
      <c r="E132" t="s">
        <v>31</v>
      </c>
      <c r="F132" s="3">
        <v>35153.799999999996</v>
      </c>
      <c r="G132" s="3">
        <v>15000</v>
      </c>
      <c r="H132" s="3">
        <f t="shared" si="2"/>
        <v>3515.3799999999997</v>
      </c>
      <c r="I132" t="s">
        <v>9</v>
      </c>
      <c r="J132" s="3">
        <f>SUM(Table4[[#This Row],[Sales Amount]]-Table4[[#This Row],[Target]])</f>
        <v>20153.799999999996</v>
      </c>
    </row>
    <row r="133" spans="1:10" ht="15" hidden="1" thickTop="1" x14ac:dyDescent="0.35">
      <c r="A133" s="2">
        <v>44287</v>
      </c>
      <c r="B133" t="s">
        <v>28</v>
      </c>
      <c r="C133" t="s">
        <v>29</v>
      </c>
      <c r="D133" t="s">
        <v>30</v>
      </c>
      <c r="E133" t="s">
        <v>31</v>
      </c>
      <c r="F133" s="3">
        <v>35820</v>
      </c>
      <c r="G133" s="3">
        <v>15000</v>
      </c>
      <c r="H133" s="3">
        <f t="shared" si="2"/>
        <v>3582</v>
      </c>
      <c r="I133" t="s">
        <v>41</v>
      </c>
      <c r="J133" s="3">
        <f>SUM(Table4[[#This Row],[Sales Amount]]-Table4[[#This Row],[Target]])</f>
        <v>20820</v>
      </c>
    </row>
    <row r="134" spans="1:10" ht="15" hidden="1" thickTop="1" x14ac:dyDescent="0.35">
      <c r="A134" s="2">
        <v>44287</v>
      </c>
      <c r="B134" t="s">
        <v>57</v>
      </c>
      <c r="C134" t="s">
        <v>58</v>
      </c>
      <c r="D134" t="s">
        <v>59</v>
      </c>
      <c r="E134" t="s">
        <v>31</v>
      </c>
      <c r="F134" s="3">
        <v>42690.400000000001</v>
      </c>
      <c r="G134" s="3">
        <v>15000</v>
      </c>
      <c r="H134" s="3">
        <f t="shared" si="2"/>
        <v>4269.04</v>
      </c>
      <c r="I134" t="s">
        <v>41</v>
      </c>
      <c r="J134" s="3">
        <f>SUM(Table4[[#This Row],[Sales Amount]]-Table4[[#This Row],[Target]])</f>
        <v>27690.400000000001</v>
      </c>
    </row>
    <row r="135" spans="1:10" ht="15" hidden="1" thickTop="1" x14ac:dyDescent="0.35">
      <c r="A135" s="2">
        <v>44287</v>
      </c>
      <c r="B135" t="s">
        <v>54</v>
      </c>
      <c r="C135" t="s">
        <v>55</v>
      </c>
      <c r="D135" t="s">
        <v>56</v>
      </c>
      <c r="E135" t="s">
        <v>24</v>
      </c>
      <c r="F135" s="3">
        <v>6960</v>
      </c>
      <c r="G135" s="3">
        <v>15000</v>
      </c>
      <c r="H135" s="3" t="str">
        <f t="shared" si="2"/>
        <v>$_</v>
      </c>
      <c r="I135" t="s">
        <v>41</v>
      </c>
      <c r="J135" s="3">
        <f>SUM(Table4[[#This Row],[Sales Amount]]-Table4[[#This Row],[Target]])</f>
        <v>-8040</v>
      </c>
    </row>
    <row r="136" spans="1:10" ht="15" hidden="1" thickTop="1" x14ac:dyDescent="0.35">
      <c r="A136" s="2">
        <v>44287</v>
      </c>
      <c r="B136" t="s">
        <v>45</v>
      </c>
      <c r="C136" t="s">
        <v>46</v>
      </c>
      <c r="D136" t="s">
        <v>47</v>
      </c>
      <c r="E136" t="s">
        <v>24</v>
      </c>
      <c r="F136" s="3">
        <v>9627.8999999999978</v>
      </c>
      <c r="G136" s="3">
        <v>15000</v>
      </c>
      <c r="H136" s="3" t="str">
        <f t="shared" si="2"/>
        <v>$_</v>
      </c>
      <c r="I136" t="s">
        <v>9</v>
      </c>
      <c r="J136" s="3">
        <f>SUM(Table4[[#This Row],[Sales Amount]]-Table4[[#This Row],[Target]])</f>
        <v>-5372.1000000000022</v>
      </c>
    </row>
    <row r="137" spans="1:10" ht="15" hidden="1" thickTop="1" x14ac:dyDescent="0.35">
      <c r="A137" s="2">
        <v>44287</v>
      </c>
      <c r="B137" t="s">
        <v>32</v>
      </c>
      <c r="C137" t="s">
        <v>33</v>
      </c>
      <c r="D137" t="s">
        <v>34</v>
      </c>
      <c r="E137" t="s">
        <v>24</v>
      </c>
      <c r="F137" s="3">
        <v>13725.600000000002</v>
      </c>
      <c r="G137" s="3">
        <v>15000</v>
      </c>
      <c r="H137" s="3" t="str">
        <f t="shared" si="2"/>
        <v>$_</v>
      </c>
      <c r="I137" t="s">
        <v>41</v>
      </c>
      <c r="J137" s="3">
        <f>SUM(Table4[[#This Row],[Sales Amount]]-Table4[[#This Row],[Target]])</f>
        <v>-1274.3999999999978</v>
      </c>
    </row>
    <row r="138" spans="1:10" ht="15" hidden="1" thickTop="1" x14ac:dyDescent="0.35">
      <c r="A138" s="2">
        <v>44287</v>
      </c>
      <c r="B138" t="s">
        <v>45</v>
      </c>
      <c r="C138" t="s">
        <v>46</v>
      </c>
      <c r="D138" t="s">
        <v>47</v>
      </c>
      <c r="E138" t="s">
        <v>24</v>
      </c>
      <c r="F138" s="3">
        <v>15353.2</v>
      </c>
      <c r="G138" s="3">
        <v>15000</v>
      </c>
      <c r="H138" s="3">
        <f t="shared" si="2"/>
        <v>1535.3200000000002</v>
      </c>
      <c r="I138" t="s">
        <v>9</v>
      </c>
      <c r="J138" s="3">
        <f>SUM(Table4[[#This Row],[Sales Amount]]-Table4[[#This Row],[Target]])</f>
        <v>353.20000000000073</v>
      </c>
    </row>
    <row r="139" spans="1:10" ht="15" hidden="1" thickTop="1" x14ac:dyDescent="0.35">
      <c r="A139" s="2">
        <v>44287</v>
      </c>
      <c r="B139" t="s">
        <v>21</v>
      </c>
      <c r="C139" t="s">
        <v>22</v>
      </c>
      <c r="D139" t="s">
        <v>23</v>
      </c>
      <c r="E139" t="s">
        <v>24</v>
      </c>
      <c r="F139" s="3">
        <v>18994.5</v>
      </c>
      <c r="G139" s="3">
        <v>15000</v>
      </c>
      <c r="H139" s="3">
        <f t="shared" si="2"/>
        <v>1899.45</v>
      </c>
      <c r="I139" t="s">
        <v>13</v>
      </c>
      <c r="J139" s="3">
        <f>SUM(Table4[[#This Row],[Sales Amount]]-Table4[[#This Row],[Target]])</f>
        <v>3994.5</v>
      </c>
    </row>
    <row r="140" spans="1:10" ht="15" hidden="1" thickTop="1" x14ac:dyDescent="0.35">
      <c r="A140" s="2">
        <v>44287</v>
      </c>
      <c r="B140" t="s">
        <v>21</v>
      </c>
      <c r="C140" t="s">
        <v>22</v>
      </c>
      <c r="D140" t="s">
        <v>23</v>
      </c>
      <c r="E140" t="s">
        <v>24</v>
      </c>
      <c r="F140" s="3">
        <v>28628.799999999996</v>
      </c>
      <c r="G140" s="3">
        <v>15000</v>
      </c>
      <c r="H140" s="3">
        <f t="shared" si="2"/>
        <v>2862.8799999999997</v>
      </c>
      <c r="I140" t="s">
        <v>41</v>
      </c>
      <c r="J140" s="3">
        <f>SUM(Table4[[#This Row],[Sales Amount]]-Table4[[#This Row],[Target]])</f>
        <v>13628.799999999996</v>
      </c>
    </row>
    <row r="141" spans="1:10" ht="15" hidden="1" thickTop="1" x14ac:dyDescent="0.35">
      <c r="A141" s="2">
        <v>44317</v>
      </c>
      <c r="B141" t="s">
        <v>10</v>
      </c>
      <c r="C141" t="s">
        <v>11</v>
      </c>
      <c r="D141" t="s">
        <v>12</v>
      </c>
      <c r="E141" t="s">
        <v>8</v>
      </c>
      <c r="F141" s="3">
        <v>8686.6</v>
      </c>
      <c r="G141" s="3">
        <v>15000</v>
      </c>
      <c r="H141" s="3" t="str">
        <f t="shared" si="2"/>
        <v>$_</v>
      </c>
      <c r="I141" t="s">
        <v>13</v>
      </c>
      <c r="J141" s="3">
        <f>SUM(Table4[[#This Row],[Sales Amount]]-Table4[[#This Row],[Target]])</f>
        <v>-6313.4</v>
      </c>
    </row>
    <row r="142" spans="1:10" ht="15" hidden="1" thickTop="1" x14ac:dyDescent="0.35">
      <c r="A142" s="2">
        <v>44317</v>
      </c>
      <c r="B142" t="s">
        <v>14</v>
      </c>
      <c r="C142" t="s">
        <v>15</v>
      </c>
      <c r="D142" t="s">
        <v>16</v>
      </c>
      <c r="E142" t="s">
        <v>8</v>
      </c>
      <c r="F142" s="3">
        <v>12422.2</v>
      </c>
      <c r="G142" s="3">
        <v>15000</v>
      </c>
      <c r="H142" s="3" t="str">
        <f t="shared" si="2"/>
        <v>$_</v>
      </c>
      <c r="I142" t="s">
        <v>41</v>
      </c>
      <c r="J142" s="3">
        <f>SUM(Table4[[#This Row],[Sales Amount]]-Table4[[#This Row],[Target]])</f>
        <v>-2577.7999999999993</v>
      </c>
    </row>
    <row r="143" spans="1:10" ht="15" hidden="1" thickTop="1" x14ac:dyDescent="0.35">
      <c r="A143" s="2">
        <v>44317</v>
      </c>
      <c r="B143" t="s">
        <v>25</v>
      </c>
      <c r="C143" t="s">
        <v>26</v>
      </c>
      <c r="D143" t="s">
        <v>27</v>
      </c>
      <c r="E143" t="s">
        <v>8</v>
      </c>
      <c r="F143" s="3">
        <v>15120</v>
      </c>
      <c r="G143" s="3">
        <v>15000</v>
      </c>
      <c r="H143" s="3">
        <f t="shared" si="2"/>
        <v>1512</v>
      </c>
      <c r="I143" t="s">
        <v>13</v>
      </c>
      <c r="J143" s="3">
        <f>SUM(Table4[[#This Row],[Sales Amount]]-Table4[[#This Row],[Target]])</f>
        <v>120</v>
      </c>
    </row>
    <row r="144" spans="1:10" ht="15" hidden="1" thickTop="1" x14ac:dyDescent="0.35">
      <c r="A144" s="2">
        <v>44317</v>
      </c>
      <c r="B144" t="s">
        <v>10</v>
      </c>
      <c r="C144" t="s">
        <v>11</v>
      </c>
      <c r="D144" t="s">
        <v>12</v>
      </c>
      <c r="E144" t="s">
        <v>8</v>
      </c>
      <c r="F144" s="3">
        <v>16604.400000000001</v>
      </c>
      <c r="G144" s="3">
        <v>15000</v>
      </c>
      <c r="H144" s="3">
        <f t="shared" si="2"/>
        <v>1660.4400000000003</v>
      </c>
      <c r="I144" t="s">
        <v>41</v>
      </c>
      <c r="J144" s="3">
        <f>SUM(Table4[[#This Row],[Sales Amount]]-Table4[[#This Row],[Target]])</f>
        <v>1604.4000000000015</v>
      </c>
    </row>
    <row r="145" spans="1:10" ht="15" hidden="1" thickTop="1" x14ac:dyDescent="0.35">
      <c r="A145" s="2">
        <v>44317</v>
      </c>
      <c r="B145" t="s">
        <v>14</v>
      </c>
      <c r="C145" t="s">
        <v>15</v>
      </c>
      <c r="D145" t="s">
        <v>16</v>
      </c>
      <c r="E145" t="s">
        <v>8</v>
      </c>
      <c r="F145" s="3">
        <v>19584</v>
      </c>
      <c r="G145" s="3">
        <v>15000</v>
      </c>
      <c r="H145" s="3">
        <f t="shared" si="2"/>
        <v>1958.4</v>
      </c>
      <c r="I145" t="s">
        <v>13</v>
      </c>
      <c r="J145" s="3">
        <f>SUM(Table4[[#This Row],[Sales Amount]]-Table4[[#This Row],[Target]])</f>
        <v>4584</v>
      </c>
    </row>
    <row r="146" spans="1:10" ht="15" hidden="1" thickTop="1" x14ac:dyDescent="0.35">
      <c r="A146" s="2">
        <v>44317</v>
      </c>
      <c r="B146" t="s">
        <v>5</v>
      </c>
      <c r="C146" t="s">
        <v>6</v>
      </c>
      <c r="D146" t="s">
        <v>7</v>
      </c>
      <c r="E146" t="s">
        <v>8</v>
      </c>
      <c r="F146" s="3">
        <v>26546.6</v>
      </c>
      <c r="G146" s="3">
        <v>15000</v>
      </c>
      <c r="H146" s="3">
        <f t="shared" si="2"/>
        <v>2654.66</v>
      </c>
      <c r="I146" t="s">
        <v>13</v>
      </c>
      <c r="J146" s="3">
        <f>SUM(Table4[[#This Row],[Sales Amount]]-Table4[[#This Row],[Target]])</f>
        <v>11546.599999999999</v>
      </c>
    </row>
    <row r="147" spans="1:10" ht="15" hidden="1" thickTop="1" x14ac:dyDescent="0.35">
      <c r="A147" s="2">
        <v>44317</v>
      </c>
      <c r="B147" t="s">
        <v>5</v>
      </c>
      <c r="C147" t="s">
        <v>6</v>
      </c>
      <c r="D147" t="s">
        <v>7</v>
      </c>
      <c r="E147" t="s">
        <v>8</v>
      </c>
      <c r="F147" s="3">
        <v>31200</v>
      </c>
      <c r="G147" s="3">
        <v>15000</v>
      </c>
      <c r="H147" s="3">
        <f t="shared" si="2"/>
        <v>3120</v>
      </c>
      <c r="I147" t="s">
        <v>13</v>
      </c>
      <c r="J147" s="3">
        <f>SUM(Table4[[#This Row],[Sales Amount]]-Table4[[#This Row],[Target]])</f>
        <v>16200</v>
      </c>
    </row>
    <row r="148" spans="1:10" ht="15" hidden="1" thickTop="1" x14ac:dyDescent="0.35">
      <c r="A148" s="2">
        <v>44317</v>
      </c>
      <c r="B148" t="s">
        <v>63</v>
      </c>
      <c r="C148" t="s">
        <v>64</v>
      </c>
      <c r="D148" t="s">
        <v>65</v>
      </c>
      <c r="E148" t="s">
        <v>20</v>
      </c>
      <c r="F148" s="3">
        <v>9004.7999999999993</v>
      </c>
      <c r="G148" s="3">
        <v>15000</v>
      </c>
      <c r="H148" s="3" t="str">
        <f t="shared" si="2"/>
        <v>$_</v>
      </c>
      <c r="I148" t="s">
        <v>9</v>
      </c>
      <c r="J148" s="3">
        <f>SUM(Table4[[#This Row],[Sales Amount]]-Table4[[#This Row],[Target]])</f>
        <v>-5995.2000000000007</v>
      </c>
    </row>
    <row r="149" spans="1:10" ht="15" hidden="1" thickTop="1" x14ac:dyDescent="0.35">
      <c r="A149" s="2">
        <v>44317</v>
      </c>
      <c r="B149" t="s">
        <v>51</v>
      </c>
      <c r="C149" t="s">
        <v>52</v>
      </c>
      <c r="D149" t="s">
        <v>53</v>
      </c>
      <c r="E149" t="s">
        <v>20</v>
      </c>
      <c r="F149" s="3">
        <v>18826.400000000001</v>
      </c>
      <c r="G149" s="3">
        <v>15000</v>
      </c>
      <c r="H149" s="3">
        <f t="shared" si="2"/>
        <v>1882.6400000000003</v>
      </c>
      <c r="I149" t="s">
        <v>41</v>
      </c>
      <c r="J149" s="3">
        <f>SUM(Table4[[#This Row],[Sales Amount]]-Table4[[#This Row],[Target]])</f>
        <v>3826.4000000000015</v>
      </c>
    </row>
    <row r="150" spans="1:10" ht="15" hidden="1" thickTop="1" x14ac:dyDescent="0.35">
      <c r="A150" s="2">
        <v>44317</v>
      </c>
      <c r="B150" t="s">
        <v>51</v>
      </c>
      <c r="C150" t="s">
        <v>52</v>
      </c>
      <c r="D150" t="s">
        <v>53</v>
      </c>
      <c r="E150" t="s">
        <v>20</v>
      </c>
      <c r="F150" s="3">
        <v>19617.5</v>
      </c>
      <c r="G150" s="3">
        <v>15000</v>
      </c>
      <c r="H150" s="3">
        <f t="shared" si="2"/>
        <v>1961.75</v>
      </c>
      <c r="I150" t="s">
        <v>41</v>
      </c>
      <c r="J150" s="3">
        <f>SUM(Table4[[#This Row],[Sales Amount]]-Table4[[#This Row],[Target]])</f>
        <v>4617.5</v>
      </c>
    </row>
    <row r="151" spans="1:10" ht="15" hidden="1" thickTop="1" x14ac:dyDescent="0.35">
      <c r="A151" s="2">
        <v>44317</v>
      </c>
      <c r="B151" t="s">
        <v>51</v>
      </c>
      <c r="C151" t="s">
        <v>52</v>
      </c>
      <c r="D151" t="s">
        <v>53</v>
      </c>
      <c r="E151" t="s">
        <v>20</v>
      </c>
      <c r="F151" s="3">
        <v>19836.400000000001</v>
      </c>
      <c r="G151" s="3">
        <v>15000</v>
      </c>
      <c r="H151" s="3">
        <f t="shared" si="2"/>
        <v>1983.6400000000003</v>
      </c>
      <c r="I151" t="s">
        <v>9</v>
      </c>
      <c r="J151" s="3">
        <f>SUM(Table4[[#This Row],[Sales Amount]]-Table4[[#This Row],[Target]])</f>
        <v>4836.4000000000015</v>
      </c>
    </row>
    <row r="152" spans="1:10" ht="15" hidden="1" thickTop="1" x14ac:dyDescent="0.35">
      <c r="A152" s="2">
        <v>44317</v>
      </c>
      <c r="B152" t="s">
        <v>42</v>
      </c>
      <c r="C152" t="s">
        <v>43</v>
      </c>
      <c r="D152" t="s">
        <v>44</v>
      </c>
      <c r="E152" t="s">
        <v>20</v>
      </c>
      <c r="F152" s="3">
        <v>20717.599999999999</v>
      </c>
      <c r="G152" s="3">
        <v>15000</v>
      </c>
      <c r="H152" s="3">
        <f t="shared" si="2"/>
        <v>2071.7599999999998</v>
      </c>
      <c r="I152" t="s">
        <v>13</v>
      </c>
      <c r="J152" s="3">
        <f>SUM(Table4[[#This Row],[Sales Amount]]-Table4[[#This Row],[Target]])</f>
        <v>5717.5999999999985</v>
      </c>
    </row>
    <row r="153" spans="1:10" ht="15" hidden="1" thickTop="1" x14ac:dyDescent="0.35">
      <c r="A153" s="2">
        <v>44317</v>
      </c>
      <c r="B153" t="s">
        <v>35</v>
      </c>
      <c r="C153" t="s">
        <v>36</v>
      </c>
      <c r="D153" t="s">
        <v>37</v>
      </c>
      <c r="E153" t="s">
        <v>20</v>
      </c>
      <c r="F153" s="3">
        <v>23364</v>
      </c>
      <c r="G153" s="3">
        <v>15000</v>
      </c>
      <c r="H153" s="3">
        <f t="shared" si="2"/>
        <v>2336.4</v>
      </c>
      <c r="I153" t="s">
        <v>13</v>
      </c>
      <c r="J153" s="3">
        <f>SUM(Table4[[#This Row],[Sales Amount]]-Table4[[#This Row],[Target]])</f>
        <v>8364</v>
      </c>
    </row>
    <row r="154" spans="1:10" ht="15" hidden="1" thickTop="1" x14ac:dyDescent="0.35">
      <c r="A154" s="2">
        <v>44317</v>
      </c>
      <c r="B154" t="s">
        <v>51</v>
      </c>
      <c r="C154" t="s">
        <v>52</v>
      </c>
      <c r="D154" t="s">
        <v>53</v>
      </c>
      <c r="E154" t="s">
        <v>20</v>
      </c>
      <c r="F154" s="3">
        <v>23997.600000000002</v>
      </c>
      <c r="G154" s="3">
        <v>15000</v>
      </c>
      <c r="H154" s="3">
        <f t="shared" si="2"/>
        <v>2399.7600000000002</v>
      </c>
      <c r="I154" t="s">
        <v>9</v>
      </c>
      <c r="J154" s="3">
        <f>SUM(Table4[[#This Row],[Sales Amount]]-Table4[[#This Row],[Target]])</f>
        <v>8997.6000000000022</v>
      </c>
    </row>
    <row r="155" spans="1:10" ht="15" hidden="1" thickTop="1" x14ac:dyDescent="0.35">
      <c r="A155" s="2">
        <v>44317</v>
      </c>
      <c r="B155" t="s">
        <v>63</v>
      </c>
      <c r="C155" t="s">
        <v>64</v>
      </c>
      <c r="D155" t="s">
        <v>65</v>
      </c>
      <c r="E155" t="s">
        <v>20</v>
      </c>
      <c r="F155" s="3">
        <v>27916.399999999998</v>
      </c>
      <c r="G155" s="3">
        <v>15000</v>
      </c>
      <c r="H155" s="3">
        <f t="shared" si="2"/>
        <v>2791.64</v>
      </c>
      <c r="I155" t="s">
        <v>41</v>
      </c>
      <c r="J155" s="3">
        <f>SUM(Table4[[#This Row],[Sales Amount]]-Table4[[#This Row],[Target]])</f>
        <v>12916.399999999998</v>
      </c>
    </row>
    <row r="156" spans="1:10" ht="15" hidden="1" thickTop="1" x14ac:dyDescent="0.35">
      <c r="A156" s="2">
        <v>44317</v>
      </c>
      <c r="B156" t="s">
        <v>63</v>
      </c>
      <c r="C156" t="s">
        <v>64</v>
      </c>
      <c r="D156" t="s">
        <v>65</v>
      </c>
      <c r="E156" t="s">
        <v>20</v>
      </c>
      <c r="F156" s="3">
        <v>42249.1</v>
      </c>
      <c r="G156" s="3">
        <v>15000</v>
      </c>
      <c r="H156" s="3">
        <f t="shared" si="2"/>
        <v>4224.91</v>
      </c>
      <c r="I156" t="s">
        <v>13</v>
      </c>
      <c r="J156" s="3">
        <f>SUM(Table4[[#This Row],[Sales Amount]]-Table4[[#This Row],[Target]])</f>
        <v>27249.1</v>
      </c>
    </row>
    <row r="157" spans="1:10" ht="15" hidden="1" thickTop="1" x14ac:dyDescent="0.35">
      <c r="A157" s="2">
        <v>44317</v>
      </c>
      <c r="B157" t="s">
        <v>57</v>
      </c>
      <c r="C157" t="s">
        <v>58</v>
      </c>
      <c r="D157" t="s">
        <v>59</v>
      </c>
      <c r="E157" t="s">
        <v>31</v>
      </c>
      <c r="F157" s="3">
        <v>9270.1</v>
      </c>
      <c r="G157" s="3">
        <v>15000</v>
      </c>
      <c r="H157" s="3" t="str">
        <f t="shared" si="2"/>
        <v>$_</v>
      </c>
      <c r="I157" t="s">
        <v>9</v>
      </c>
      <c r="J157" s="3">
        <f>SUM(Table4[[#This Row],[Sales Amount]]-Table4[[#This Row],[Target]])</f>
        <v>-5729.9</v>
      </c>
    </row>
    <row r="158" spans="1:10" ht="15" hidden="1" thickTop="1" x14ac:dyDescent="0.35">
      <c r="A158" s="2">
        <v>44317</v>
      </c>
      <c r="B158" t="s">
        <v>57</v>
      </c>
      <c r="C158" t="s">
        <v>58</v>
      </c>
      <c r="D158" t="s">
        <v>59</v>
      </c>
      <c r="E158" t="s">
        <v>31</v>
      </c>
      <c r="F158" s="3">
        <v>11235</v>
      </c>
      <c r="G158" s="3">
        <v>15000</v>
      </c>
      <c r="H158" s="3" t="str">
        <f t="shared" si="2"/>
        <v>$_</v>
      </c>
      <c r="I158" t="s">
        <v>41</v>
      </c>
      <c r="J158" s="3">
        <f>SUM(Table4[[#This Row],[Sales Amount]]-Table4[[#This Row],[Target]])</f>
        <v>-3765</v>
      </c>
    </row>
    <row r="159" spans="1:10" ht="15" hidden="1" thickTop="1" x14ac:dyDescent="0.35">
      <c r="A159" s="2">
        <v>44317</v>
      </c>
      <c r="B159" t="s">
        <v>69</v>
      </c>
      <c r="C159" t="s">
        <v>70</v>
      </c>
      <c r="D159" t="s">
        <v>71</v>
      </c>
      <c r="E159" t="s">
        <v>31</v>
      </c>
      <c r="F159" s="3">
        <v>12019.799999999997</v>
      </c>
      <c r="G159" s="3">
        <v>15000</v>
      </c>
      <c r="H159" s="3" t="str">
        <f t="shared" si="2"/>
        <v>$_</v>
      </c>
      <c r="I159" t="s">
        <v>9</v>
      </c>
      <c r="J159" s="3">
        <f>SUM(Table4[[#This Row],[Sales Amount]]-Table4[[#This Row],[Target]])</f>
        <v>-2980.2000000000025</v>
      </c>
    </row>
    <row r="160" spans="1:10" ht="15" hidden="1" thickTop="1" x14ac:dyDescent="0.35">
      <c r="A160" s="2">
        <v>44317</v>
      </c>
      <c r="B160" t="s">
        <v>28</v>
      </c>
      <c r="C160" t="s">
        <v>29</v>
      </c>
      <c r="D160" t="s">
        <v>30</v>
      </c>
      <c r="E160" t="s">
        <v>31</v>
      </c>
      <c r="F160" s="3">
        <v>27930</v>
      </c>
      <c r="G160" s="3">
        <v>15000</v>
      </c>
      <c r="H160" s="3">
        <f t="shared" si="2"/>
        <v>2793</v>
      </c>
      <c r="I160" t="s">
        <v>13</v>
      </c>
      <c r="J160" s="3">
        <f>SUM(Table4[[#This Row],[Sales Amount]]-Table4[[#This Row],[Target]])</f>
        <v>12930</v>
      </c>
    </row>
    <row r="161" spans="1:10" ht="15" hidden="1" thickTop="1" x14ac:dyDescent="0.35">
      <c r="A161" s="2">
        <v>44317</v>
      </c>
      <c r="B161" t="s">
        <v>54</v>
      </c>
      <c r="C161" t="s">
        <v>55</v>
      </c>
      <c r="D161" t="s">
        <v>56</v>
      </c>
      <c r="E161" t="s">
        <v>24</v>
      </c>
      <c r="F161" s="3">
        <v>10948</v>
      </c>
      <c r="G161" s="3">
        <v>15000</v>
      </c>
      <c r="H161" s="3" t="str">
        <f t="shared" si="2"/>
        <v>$_</v>
      </c>
      <c r="I161" t="s">
        <v>9</v>
      </c>
      <c r="J161" s="3">
        <f>SUM(Table4[[#This Row],[Sales Amount]]-Table4[[#This Row],[Target]])</f>
        <v>-4052</v>
      </c>
    </row>
    <row r="162" spans="1:10" ht="15" hidden="1" thickTop="1" x14ac:dyDescent="0.35">
      <c r="A162" s="2">
        <v>44317</v>
      </c>
      <c r="B162" t="s">
        <v>48</v>
      </c>
      <c r="C162" t="s">
        <v>49</v>
      </c>
      <c r="D162" t="s">
        <v>50</v>
      </c>
      <c r="E162" t="s">
        <v>24</v>
      </c>
      <c r="F162" s="3">
        <v>13044.899999999998</v>
      </c>
      <c r="G162" s="3">
        <v>15000</v>
      </c>
      <c r="H162" s="3" t="str">
        <f t="shared" si="2"/>
        <v>$_</v>
      </c>
      <c r="I162" t="s">
        <v>9</v>
      </c>
      <c r="J162" s="3">
        <f>SUM(Table4[[#This Row],[Sales Amount]]-Table4[[#This Row],[Target]])</f>
        <v>-1955.1000000000022</v>
      </c>
    </row>
    <row r="163" spans="1:10" ht="15" hidden="1" thickTop="1" x14ac:dyDescent="0.35">
      <c r="A163" s="2">
        <v>44317</v>
      </c>
      <c r="B163" t="s">
        <v>45</v>
      </c>
      <c r="C163" t="s">
        <v>46</v>
      </c>
      <c r="D163" t="s">
        <v>47</v>
      </c>
      <c r="E163" t="s">
        <v>24</v>
      </c>
      <c r="F163" s="3">
        <v>28616</v>
      </c>
      <c r="G163" s="3">
        <v>15000</v>
      </c>
      <c r="H163" s="3">
        <f t="shared" si="2"/>
        <v>2861.6000000000004</v>
      </c>
      <c r="I163" t="s">
        <v>41</v>
      </c>
      <c r="J163" s="3">
        <f>SUM(Table4[[#This Row],[Sales Amount]]-Table4[[#This Row],[Target]])</f>
        <v>13616</v>
      </c>
    </row>
    <row r="164" spans="1:10" ht="15" hidden="1" thickTop="1" x14ac:dyDescent="0.35">
      <c r="A164" s="2">
        <v>44317</v>
      </c>
      <c r="B164" t="s">
        <v>32</v>
      </c>
      <c r="C164" t="s">
        <v>33</v>
      </c>
      <c r="D164" t="s">
        <v>34</v>
      </c>
      <c r="E164" t="s">
        <v>24</v>
      </c>
      <c r="F164" s="3">
        <v>30377.399999999998</v>
      </c>
      <c r="G164" s="3">
        <v>15000</v>
      </c>
      <c r="H164" s="3">
        <f t="shared" si="2"/>
        <v>3037.74</v>
      </c>
      <c r="I164" t="s">
        <v>41</v>
      </c>
      <c r="J164" s="3">
        <f>SUM(Table4[[#This Row],[Sales Amount]]-Table4[[#This Row],[Target]])</f>
        <v>15377.399999999998</v>
      </c>
    </row>
    <row r="165" spans="1:10" ht="15" hidden="1" thickTop="1" x14ac:dyDescent="0.35">
      <c r="A165" s="2">
        <v>44317</v>
      </c>
      <c r="B165" t="s">
        <v>45</v>
      </c>
      <c r="C165" t="s">
        <v>46</v>
      </c>
      <c r="D165" t="s">
        <v>47</v>
      </c>
      <c r="E165" t="s">
        <v>24</v>
      </c>
      <c r="F165" s="3">
        <v>35351</v>
      </c>
      <c r="G165" s="3">
        <v>15000</v>
      </c>
      <c r="H165" s="3">
        <f t="shared" si="2"/>
        <v>3535.1000000000004</v>
      </c>
      <c r="I165" t="s">
        <v>13</v>
      </c>
      <c r="J165" s="3">
        <f>SUM(Table4[[#This Row],[Sales Amount]]-Table4[[#This Row],[Target]])</f>
        <v>20351</v>
      </c>
    </row>
    <row r="166" spans="1:10" ht="15" hidden="1" thickTop="1" x14ac:dyDescent="0.35">
      <c r="A166" s="2">
        <v>44348</v>
      </c>
      <c r="B166" t="s">
        <v>5</v>
      </c>
      <c r="C166" t="s">
        <v>6</v>
      </c>
      <c r="D166" t="s">
        <v>7</v>
      </c>
      <c r="E166" t="s">
        <v>8</v>
      </c>
      <c r="F166" s="3">
        <v>2070.2999999999997</v>
      </c>
      <c r="G166" s="3">
        <v>15000</v>
      </c>
      <c r="H166" s="3" t="str">
        <f t="shared" si="2"/>
        <v>$_</v>
      </c>
      <c r="I166" t="s">
        <v>9</v>
      </c>
      <c r="J166" s="3">
        <f>SUM(Table4[[#This Row],[Sales Amount]]-Table4[[#This Row],[Target]])</f>
        <v>-12929.7</v>
      </c>
    </row>
    <row r="167" spans="1:10" ht="15" hidden="1" thickTop="1" x14ac:dyDescent="0.35">
      <c r="A167" s="2">
        <v>44348</v>
      </c>
      <c r="B167" t="s">
        <v>14</v>
      </c>
      <c r="C167" t="s">
        <v>15</v>
      </c>
      <c r="D167" t="s">
        <v>16</v>
      </c>
      <c r="E167" t="s">
        <v>8</v>
      </c>
      <c r="F167" s="3">
        <v>9499</v>
      </c>
      <c r="G167" s="3">
        <v>15000</v>
      </c>
      <c r="H167" s="3" t="str">
        <f t="shared" si="2"/>
        <v>$_</v>
      </c>
      <c r="I167" t="s">
        <v>13</v>
      </c>
      <c r="J167" s="3">
        <f>SUM(Table4[[#This Row],[Sales Amount]]-Table4[[#This Row],[Target]])</f>
        <v>-5501</v>
      </c>
    </row>
    <row r="168" spans="1:10" ht="15" hidden="1" thickTop="1" x14ac:dyDescent="0.35">
      <c r="A168" s="2">
        <v>44348</v>
      </c>
      <c r="B168" t="s">
        <v>14</v>
      </c>
      <c r="C168" t="s">
        <v>15</v>
      </c>
      <c r="D168" t="s">
        <v>16</v>
      </c>
      <c r="E168" t="s">
        <v>8</v>
      </c>
      <c r="F168" s="3">
        <v>17904.7</v>
      </c>
      <c r="G168" s="3">
        <v>15000</v>
      </c>
      <c r="H168" s="3">
        <f t="shared" si="2"/>
        <v>1790.4700000000003</v>
      </c>
      <c r="I168" t="s">
        <v>41</v>
      </c>
      <c r="J168" s="3">
        <f>SUM(Table4[[#This Row],[Sales Amount]]-Table4[[#This Row],[Target]])</f>
        <v>2904.7000000000007</v>
      </c>
    </row>
    <row r="169" spans="1:10" ht="15" hidden="1" thickTop="1" x14ac:dyDescent="0.35">
      <c r="A169" s="2">
        <v>44348</v>
      </c>
      <c r="B169" t="s">
        <v>14</v>
      </c>
      <c r="C169" t="s">
        <v>15</v>
      </c>
      <c r="D169" t="s">
        <v>16</v>
      </c>
      <c r="E169" t="s">
        <v>8</v>
      </c>
      <c r="F169" s="3">
        <v>18878.399999999998</v>
      </c>
      <c r="G169" s="3">
        <v>15000</v>
      </c>
      <c r="H169" s="3">
        <f t="shared" si="2"/>
        <v>1887.84</v>
      </c>
      <c r="I169" t="s">
        <v>13</v>
      </c>
      <c r="J169" s="3">
        <f>SUM(Table4[[#This Row],[Sales Amount]]-Table4[[#This Row],[Target]])</f>
        <v>3878.3999999999978</v>
      </c>
    </row>
    <row r="170" spans="1:10" ht="15" hidden="1" thickTop="1" x14ac:dyDescent="0.35">
      <c r="A170" s="2">
        <v>44348</v>
      </c>
      <c r="B170" t="s">
        <v>14</v>
      </c>
      <c r="C170" t="s">
        <v>15</v>
      </c>
      <c r="D170" t="s">
        <v>16</v>
      </c>
      <c r="E170" t="s">
        <v>8</v>
      </c>
      <c r="F170" s="3">
        <v>23445</v>
      </c>
      <c r="G170" s="3">
        <v>15000</v>
      </c>
      <c r="H170" s="3">
        <f t="shared" si="2"/>
        <v>2344.5</v>
      </c>
      <c r="I170" t="s">
        <v>13</v>
      </c>
      <c r="J170" s="3">
        <f>SUM(Table4[[#This Row],[Sales Amount]]-Table4[[#This Row],[Target]])</f>
        <v>8445</v>
      </c>
    </row>
    <row r="171" spans="1:10" ht="15" hidden="1" thickTop="1" x14ac:dyDescent="0.35">
      <c r="A171" s="2">
        <v>44348</v>
      </c>
      <c r="B171" t="s">
        <v>14</v>
      </c>
      <c r="C171" t="s">
        <v>15</v>
      </c>
      <c r="D171" t="s">
        <v>16</v>
      </c>
      <c r="E171" t="s">
        <v>8</v>
      </c>
      <c r="F171" s="3">
        <v>34162</v>
      </c>
      <c r="G171" s="3">
        <v>15000</v>
      </c>
      <c r="H171" s="3">
        <f t="shared" si="2"/>
        <v>3416.2000000000003</v>
      </c>
      <c r="I171" t="s">
        <v>13</v>
      </c>
      <c r="J171" s="3">
        <f>SUM(Table4[[#This Row],[Sales Amount]]-Table4[[#This Row],[Target]])</f>
        <v>19162</v>
      </c>
    </row>
    <row r="172" spans="1:10" ht="15" hidden="1" thickTop="1" x14ac:dyDescent="0.35">
      <c r="A172" s="2">
        <v>44348</v>
      </c>
      <c r="B172" t="s">
        <v>42</v>
      </c>
      <c r="C172" t="s">
        <v>43</v>
      </c>
      <c r="D172" t="s">
        <v>44</v>
      </c>
      <c r="E172" t="s">
        <v>20</v>
      </c>
      <c r="F172" s="3">
        <v>9574.7999999999993</v>
      </c>
      <c r="G172" s="3">
        <v>15000</v>
      </c>
      <c r="H172" s="3" t="str">
        <f t="shared" si="2"/>
        <v>$_</v>
      </c>
      <c r="I172" t="s">
        <v>13</v>
      </c>
      <c r="J172" s="3">
        <f>SUM(Table4[[#This Row],[Sales Amount]]-Table4[[#This Row],[Target]])</f>
        <v>-5425.2000000000007</v>
      </c>
    </row>
    <row r="173" spans="1:10" ht="15" hidden="1" thickTop="1" x14ac:dyDescent="0.35">
      <c r="A173" s="2">
        <v>44348</v>
      </c>
      <c r="B173" t="s">
        <v>42</v>
      </c>
      <c r="C173" t="s">
        <v>43</v>
      </c>
      <c r="D173" t="s">
        <v>44</v>
      </c>
      <c r="E173" t="s">
        <v>20</v>
      </c>
      <c r="F173" s="3">
        <v>14301.6</v>
      </c>
      <c r="G173" s="3">
        <v>15000</v>
      </c>
      <c r="H173" s="3" t="str">
        <f t="shared" si="2"/>
        <v>$_</v>
      </c>
      <c r="I173" t="s">
        <v>13</v>
      </c>
      <c r="J173" s="3">
        <f>SUM(Table4[[#This Row],[Sales Amount]]-Table4[[#This Row],[Target]])</f>
        <v>-698.39999999999964</v>
      </c>
    </row>
    <row r="174" spans="1:10" ht="15" hidden="1" thickTop="1" x14ac:dyDescent="0.35">
      <c r="A174" s="2">
        <v>44348</v>
      </c>
      <c r="B174" t="s">
        <v>35</v>
      </c>
      <c r="C174" t="s">
        <v>36</v>
      </c>
      <c r="D174" t="s">
        <v>37</v>
      </c>
      <c r="E174" t="s">
        <v>20</v>
      </c>
      <c r="F174" s="3">
        <v>15061.2</v>
      </c>
      <c r="G174" s="3">
        <v>15000</v>
      </c>
      <c r="H174" s="3">
        <f t="shared" si="2"/>
        <v>1506.1200000000001</v>
      </c>
      <c r="I174" t="s">
        <v>13</v>
      </c>
      <c r="J174" s="3">
        <f>SUM(Table4[[#This Row],[Sales Amount]]-Table4[[#This Row],[Target]])</f>
        <v>61.200000000000728</v>
      </c>
    </row>
    <row r="175" spans="1:10" ht="15" hidden="1" thickTop="1" x14ac:dyDescent="0.35">
      <c r="A175" s="2">
        <v>44348</v>
      </c>
      <c r="B175" t="s">
        <v>51</v>
      </c>
      <c r="C175" t="s">
        <v>52</v>
      </c>
      <c r="D175" t="s">
        <v>53</v>
      </c>
      <c r="E175" t="s">
        <v>20</v>
      </c>
      <c r="F175" s="3">
        <v>17262</v>
      </c>
      <c r="G175" s="3">
        <v>15000</v>
      </c>
      <c r="H175" s="3">
        <f t="shared" si="2"/>
        <v>1726.2</v>
      </c>
      <c r="I175" t="s">
        <v>13</v>
      </c>
      <c r="J175" s="3">
        <f>SUM(Table4[[#This Row],[Sales Amount]]-Table4[[#This Row],[Target]])</f>
        <v>2262</v>
      </c>
    </row>
    <row r="176" spans="1:10" ht="15" hidden="1" thickTop="1" x14ac:dyDescent="0.35">
      <c r="A176" s="2">
        <v>44348</v>
      </c>
      <c r="B176" t="s">
        <v>63</v>
      </c>
      <c r="C176" t="s">
        <v>64</v>
      </c>
      <c r="D176" t="s">
        <v>65</v>
      </c>
      <c r="E176" t="s">
        <v>20</v>
      </c>
      <c r="F176" s="3">
        <v>37192.5</v>
      </c>
      <c r="G176" s="3">
        <v>15000</v>
      </c>
      <c r="H176" s="3">
        <f t="shared" si="2"/>
        <v>3719.25</v>
      </c>
      <c r="I176" t="s">
        <v>41</v>
      </c>
      <c r="J176" s="3">
        <f>SUM(Table4[[#This Row],[Sales Amount]]-Table4[[#This Row],[Target]])</f>
        <v>22192.5</v>
      </c>
    </row>
    <row r="177" spans="1:10" ht="15" hidden="1" thickTop="1" x14ac:dyDescent="0.35">
      <c r="A177" s="2">
        <v>44348</v>
      </c>
      <c r="B177" t="s">
        <v>35</v>
      </c>
      <c r="C177" t="s">
        <v>36</v>
      </c>
      <c r="D177" t="s">
        <v>37</v>
      </c>
      <c r="E177" t="s">
        <v>20</v>
      </c>
      <c r="F177" s="3">
        <v>39653.9</v>
      </c>
      <c r="G177" s="3">
        <v>15000</v>
      </c>
      <c r="H177" s="3">
        <f t="shared" si="2"/>
        <v>3965.3900000000003</v>
      </c>
      <c r="I177" t="s">
        <v>41</v>
      </c>
      <c r="J177" s="3">
        <f>SUM(Table4[[#This Row],[Sales Amount]]-Table4[[#This Row],[Target]])</f>
        <v>24653.9</v>
      </c>
    </row>
    <row r="178" spans="1:10" ht="15" hidden="1" thickTop="1" x14ac:dyDescent="0.35">
      <c r="A178" s="2">
        <v>44348</v>
      </c>
      <c r="B178" t="s">
        <v>38</v>
      </c>
      <c r="C178" t="s">
        <v>39</v>
      </c>
      <c r="D178" t="s">
        <v>40</v>
      </c>
      <c r="E178" t="s">
        <v>31</v>
      </c>
      <c r="F178" s="3">
        <v>7581.9999999999991</v>
      </c>
      <c r="G178" s="3">
        <v>15000</v>
      </c>
      <c r="H178" s="3" t="str">
        <f t="shared" si="2"/>
        <v>$_</v>
      </c>
      <c r="I178" t="s">
        <v>9</v>
      </c>
      <c r="J178" s="3">
        <f>SUM(Table4[[#This Row],[Sales Amount]]-Table4[[#This Row],[Target]])</f>
        <v>-7418.0000000000009</v>
      </c>
    </row>
    <row r="179" spans="1:10" ht="15" hidden="1" thickTop="1" x14ac:dyDescent="0.35">
      <c r="A179" s="2">
        <v>44348</v>
      </c>
      <c r="B179" t="s">
        <v>28</v>
      </c>
      <c r="C179" t="s">
        <v>29</v>
      </c>
      <c r="D179" t="s">
        <v>30</v>
      </c>
      <c r="E179" t="s">
        <v>31</v>
      </c>
      <c r="F179" s="3">
        <v>8721.6</v>
      </c>
      <c r="G179" s="3">
        <v>15000</v>
      </c>
      <c r="H179" s="3" t="str">
        <f t="shared" si="2"/>
        <v>$_</v>
      </c>
      <c r="I179" t="s">
        <v>41</v>
      </c>
      <c r="J179" s="3">
        <f>SUM(Table4[[#This Row],[Sales Amount]]-Table4[[#This Row],[Target]])</f>
        <v>-6278.4</v>
      </c>
    </row>
    <row r="180" spans="1:10" ht="15" hidden="1" thickTop="1" x14ac:dyDescent="0.35">
      <c r="A180" s="2">
        <v>44348</v>
      </c>
      <c r="B180" t="s">
        <v>38</v>
      </c>
      <c r="C180" t="s">
        <v>39</v>
      </c>
      <c r="D180" t="s">
        <v>40</v>
      </c>
      <c r="E180" t="s">
        <v>31</v>
      </c>
      <c r="F180" s="3">
        <v>10500</v>
      </c>
      <c r="G180" s="3">
        <v>15000</v>
      </c>
      <c r="H180" s="3" t="str">
        <f t="shared" si="2"/>
        <v>$_</v>
      </c>
      <c r="I180" t="s">
        <v>13</v>
      </c>
      <c r="J180" s="3">
        <f>SUM(Table4[[#This Row],[Sales Amount]]-Table4[[#This Row],[Target]])</f>
        <v>-4500</v>
      </c>
    </row>
    <row r="181" spans="1:10" ht="15" hidden="1" thickTop="1" x14ac:dyDescent="0.35">
      <c r="A181" s="2">
        <v>44348</v>
      </c>
      <c r="B181" t="s">
        <v>57</v>
      </c>
      <c r="C181" t="s">
        <v>58</v>
      </c>
      <c r="D181" t="s">
        <v>59</v>
      </c>
      <c r="E181" t="s">
        <v>31</v>
      </c>
      <c r="F181" s="3">
        <v>13466.999999999998</v>
      </c>
      <c r="G181" s="3">
        <v>15000</v>
      </c>
      <c r="H181" s="3" t="str">
        <f t="shared" si="2"/>
        <v>$_</v>
      </c>
      <c r="I181" t="s">
        <v>41</v>
      </c>
      <c r="J181" s="3">
        <f>SUM(Table4[[#This Row],[Sales Amount]]-Table4[[#This Row],[Target]])</f>
        <v>-1533.0000000000018</v>
      </c>
    </row>
    <row r="182" spans="1:10" ht="15" hidden="1" thickTop="1" x14ac:dyDescent="0.35">
      <c r="A182" s="2">
        <v>44348</v>
      </c>
      <c r="B182" t="s">
        <v>38</v>
      </c>
      <c r="C182" t="s">
        <v>39</v>
      </c>
      <c r="D182" t="s">
        <v>40</v>
      </c>
      <c r="E182" t="s">
        <v>31</v>
      </c>
      <c r="F182" s="3">
        <v>16036.8</v>
      </c>
      <c r="G182" s="3">
        <v>15000</v>
      </c>
      <c r="H182" s="3">
        <f t="shared" si="2"/>
        <v>1603.68</v>
      </c>
      <c r="I182" t="s">
        <v>13</v>
      </c>
      <c r="J182" s="3">
        <f>SUM(Table4[[#This Row],[Sales Amount]]-Table4[[#This Row],[Target]])</f>
        <v>1036.7999999999993</v>
      </c>
    </row>
    <row r="183" spans="1:10" ht="15" hidden="1" thickTop="1" x14ac:dyDescent="0.35">
      <c r="A183" s="2">
        <v>44348</v>
      </c>
      <c r="B183" t="s">
        <v>60</v>
      </c>
      <c r="C183" t="s">
        <v>61</v>
      </c>
      <c r="D183" t="s">
        <v>62</v>
      </c>
      <c r="E183" t="s">
        <v>31</v>
      </c>
      <c r="F183" s="3">
        <v>16846.8</v>
      </c>
      <c r="G183" s="3">
        <v>15000</v>
      </c>
      <c r="H183" s="3">
        <f t="shared" si="2"/>
        <v>1684.68</v>
      </c>
      <c r="I183" t="s">
        <v>13</v>
      </c>
      <c r="J183" s="3">
        <f>SUM(Table4[[#This Row],[Sales Amount]]-Table4[[#This Row],[Target]])</f>
        <v>1846.7999999999993</v>
      </c>
    </row>
    <row r="184" spans="1:10" ht="15" hidden="1" thickTop="1" x14ac:dyDescent="0.35">
      <c r="A184" s="2">
        <v>44348</v>
      </c>
      <c r="B184" t="s">
        <v>45</v>
      </c>
      <c r="C184" t="s">
        <v>46</v>
      </c>
      <c r="D184" t="s">
        <v>47</v>
      </c>
      <c r="E184" t="s">
        <v>24</v>
      </c>
      <c r="F184" s="3">
        <v>6872.7999999999993</v>
      </c>
      <c r="G184" s="3">
        <v>15000</v>
      </c>
      <c r="H184" s="3" t="str">
        <f t="shared" si="2"/>
        <v>$_</v>
      </c>
      <c r="I184" t="s">
        <v>9</v>
      </c>
      <c r="J184" s="3">
        <f>SUM(Table4[[#This Row],[Sales Amount]]-Table4[[#This Row],[Target]])</f>
        <v>-8127.2000000000007</v>
      </c>
    </row>
    <row r="185" spans="1:10" ht="15" hidden="1" thickTop="1" x14ac:dyDescent="0.35">
      <c r="A185" s="2">
        <v>44348</v>
      </c>
      <c r="B185" t="s">
        <v>32</v>
      </c>
      <c r="C185" t="s">
        <v>33</v>
      </c>
      <c r="D185" t="s">
        <v>34</v>
      </c>
      <c r="E185" t="s">
        <v>24</v>
      </c>
      <c r="F185" s="3">
        <v>8827</v>
      </c>
      <c r="G185" s="3">
        <v>15000</v>
      </c>
      <c r="H185" s="3" t="str">
        <f t="shared" si="2"/>
        <v>$_</v>
      </c>
      <c r="I185" t="s">
        <v>41</v>
      </c>
      <c r="J185" s="3">
        <f>SUM(Table4[[#This Row],[Sales Amount]]-Table4[[#This Row],[Target]])</f>
        <v>-6173</v>
      </c>
    </row>
    <row r="186" spans="1:10" ht="15" hidden="1" thickTop="1" x14ac:dyDescent="0.35">
      <c r="A186" s="2">
        <v>44348</v>
      </c>
      <c r="B186" t="s">
        <v>54</v>
      </c>
      <c r="C186" t="s">
        <v>55</v>
      </c>
      <c r="D186" t="s">
        <v>56</v>
      </c>
      <c r="E186" t="s">
        <v>24</v>
      </c>
      <c r="F186" s="3">
        <v>9836.8000000000011</v>
      </c>
      <c r="G186" s="3">
        <v>15000</v>
      </c>
      <c r="H186" s="3" t="str">
        <f t="shared" si="2"/>
        <v>$_</v>
      </c>
      <c r="I186" t="s">
        <v>9</v>
      </c>
      <c r="J186" s="3">
        <f>SUM(Table4[[#This Row],[Sales Amount]]-Table4[[#This Row],[Target]])</f>
        <v>-5163.1999999999989</v>
      </c>
    </row>
    <row r="187" spans="1:10" ht="15" hidden="1" thickTop="1" x14ac:dyDescent="0.35">
      <c r="A187" s="2">
        <v>44348</v>
      </c>
      <c r="B187" t="s">
        <v>32</v>
      </c>
      <c r="C187" t="s">
        <v>33</v>
      </c>
      <c r="D187" t="s">
        <v>34</v>
      </c>
      <c r="E187" t="s">
        <v>24</v>
      </c>
      <c r="F187" s="3">
        <v>10032</v>
      </c>
      <c r="G187" s="3">
        <v>15000</v>
      </c>
      <c r="H187" s="3" t="str">
        <f t="shared" si="2"/>
        <v>$_</v>
      </c>
      <c r="I187" t="s">
        <v>9</v>
      </c>
      <c r="J187" s="3">
        <f>SUM(Table4[[#This Row],[Sales Amount]]-Table4[[#This Row],[Target]])</f>
        <v>-4968</v>
      </c>
    </row>
    <row r="188" spans="1:10" ht="15" hidden="1" thickTop="1" x14ac:dyDescent="0.35">
      <c r="A188" s="2">
        <v>44348</v>
      </c>
      <c r="B188" t="s">
        <v>32</v>
      </c>
      <c r="C188" t="s">
        <v>33</v>
      </c>
      <c r="D188" t="s">
        <v>34</v>
      </c>
      <c r="E188" t="s">
        <v>24</v>
      </c>
      <c r="F188" s="3">
        <v>15953.599999999999</v>
      </c>
      <c r="G188" s="3">
        <v>15000</v>
      </c>
      <c r="H188" s="3">
        <f t="shared" si="2"/>
        <v>1595.36</v>
      </c>
      <c r="I188" t="s">
        <v>13</v>
      </c>
      <c r="J188" s="3">
        <f>SUM(Table4[[#This Row],[Sales Amount]]-Table4[[#This Row],[Target]])</f>
        <v>953.59999999999854</v>
      </c>
    </row>
    <row r="189" spans="1:10" ht="15" hidden="1" thickTop="1" x14ac:dyDescent="0.35">
      <c r="A189" s="2">
        <v>44348</v>
      </c>
      <c r="B189" t="s">
        <v>45</v>
      </c>
      <c r="C189" t="s">
        <v>46</v>
      </c>
      <c r="D189" t="s">
        <v>47</v>
      </c>
      <c r="E189" t="s">
        <v>24</v>
      </c>
      <c r="F189" s="3">
        <v>25560</v>
      </c>
      <c r="G189" s="3">
        <v>15000</v>
      </c>
      <c r="H189" s="3">
        <f t="shared" si="2"/>
        <v>2556</v>
      </c>
      <c r="I189" t="s">
        <v>9</v>
      </c>
      <c r="J189" s="3">
        <f>SUM(Table4[[#This Row],[Sales Amount]]-Table4[[#This Row],[Target]])</f>
        <v>10560</v>
      </c>
    </row>
    <row r="190" spans="1:10" ht="15" hidden="1" thickTop="1" x14ac:dyDescent="0.35">
      <c r="A190" s="2">
        <v>44348</v>
      </c>
      <c r="B190" t="s">
        <v>32</v>
      </c>
      <c r="C190" t="s">
        <v>33</v>
      </c>
      <c r="D190" t="s">
        <v>34</v>
      </c>
      <c r="E190" t="s">
        <v>24</v>
      </c>
      <c r="F190" s="3">
        <v>35695</v>
      </c>
      <c r="G190" s="3">
        <v>15000</v>
      </c>
      <c r="H190" s="3">
        <f t="shared" si="2"/>
        <v>3569.5</v>
      </c>
      <c r="I190" t="s">
        <v>13</v>
      </c>
      <c r="J190" s="3">
        <f>SUM(Table4[[#This Row],[Sales Amount]]-Table4[[#This Row],[Target]])</f>
        <v>20695</v>
      </c>
    </row>
    <row r="191" spans="1:10" ht="15" hidden="1" thickTop="1" x14ac:dyDescent="0.35">
      <c r="A191" s="2">
        <v>44378</v>
      </c>
      <c r="B191" t="s">
        <v>14</v>
      </c>
      <c r="C191" t="s">
        <v>15</v>
      </c>
      <c r="D191" t="s">
        <v>16</v>
      </c>
      <c r="E191" t="s">
        <v>8</v>
      </c>
      <c r="F191" s="3">
        <v>3055.2</v>
      </c>
      <c r="G191" s="3">
        <v>15000</v>
      </c>
      <c r="H191" s="3" t="str">
        <f t="shared" si="2"/>
        <v>$_</v>
      </c>
      <c r="I191" t="s">
        <v>9</v>
      </c>
      <c r="J191" s="3">
        <f>SUM(Table4[[#This Row],[Sales Amount]]-Table4[[#This Row],[Target]])</f>
        <v>-11944.8</v>
      </c>
    </row>
    <row r="192" spans="1:10" ht="15" hidden="1" thickTop="1" x14ac:dyDescent="0.35">
      <c r="A192" s="2">
        <v>44378</v>
      </c>
      <c r="B192" t="s">
        <v>5</v>
      </c>
      <c r="C192" t="s">
        <v>6</v>
      </c>
      <c r="D192" t="s">
        <v>7</v>
      </c>
      <c r="E192" t="s">
        <v>8</v>
      </c>
      <c r="F192" s="3">
        <v>4843.4000000000005</v>
      </c>
      <c r="G192" s="3">
        <v>15000</v>
      </c>
      <c r="H192" s="3" t="str">
        <f t="shared" si="2"/>
        <v>$_</v>
      </c>
      <c r="I192" t="s">
        <v>41</v>
      </c>
      <c r="J192" s="3">
        <f>SUM(Table4[[#This Row],[Sales Amount]]-Table4[[#This Row],[Target]])</f>
        <v>-10156.599999999999</v>
      </c>
    </row>
    <row r="193" spans="1:10" ht="15" hidden="1" thickTop="1" x14ac:dyDescent="0.35">
      <c r="A193" s="2">
        <v>44378</v>
      </c>
      <c r="B193" t="s">
        <v>10</v>
      </c>
      <c r="C193" t="s">
        <v>11</v>
      </c>
      <c r="D193" t="s">
        <v>12</v>
      </c>
      <c r="E193" t="s">
        <v>8</v>
      </c>
      <c r="F193" s="3">
        <v>5215.2</v>
      </c>
      <c r="G193" s="3">
        <v>15000</v>
      </c>
      <c r="H193" s="3" t="str">
        <f t="shared" si="2"/>
        <v>$_</v>
      </c>
      <c r="I193" t="s">
        <v>41</v>
      </c>
      <c r="J193" s="3">
        <f>SUM(Table4[[#This Row],[Sales Amount]]-Table4[[#This Row],[Target]])</f>
        <v>-9784.7999999999993</v>
      </c>
    </row>
    <row r="194" spans="1:10" ht="15" hidden="1" thickTop="1" x14ac:dyDescent="0.35">
      <c r="A194" s="2">
        <v>44378</v>
      </c>
      <c r="B194" t="s">
        <v>14</v>
      </c>
      <c r="C194" t="s">
        <v>15</v>
      </c>
      <c r="D194" t="s">
        <v>16</v>
      </c>
      <c r="E194" t="s">
        <v>8</v>
      </c>
      <c r="F194" s="3">
        <v>7199.7000000000007</v>
      </c>
      <c r="G194" s="3">
        <v>15000</v>
      </c>
      <c r="H194" s="3" t="str">
        <f t="shared" ref="H194:H257" si="3">IF(F194&gt;=G194, F194*Commission, "$_")</f>
        <v>$_</v>
      </c>
      <c r="I194" t="s">
        <v>41</v>
      </c>
      <c r="J194" s="3">
        <f>SUM(Table4[[#This Row],[Sales Amount]]-Table4[[#This Row],[Target]])</f>
        <v>-7800.2999999999993</v>
      </c>
    </row>
    <row r="195" spans="1:10" ht="15" hidden="1" thickTop="1" x14ac:dyDescent="0.35">
      <c r="A195" s="2">
        <v>44378</v>
      </c>
      <c r="B195" t="s">
        <v>66</v>
      </c>
      <c r="C195" t="s">
        <v>67</v>
      </c>
      <c r="D195" t="s">
        <v>68</v>
      </c>
      <c r="E195" t="s">
        <v>8</v>
      </c>
      <c r="F195" s="3">
        <v>14670</v>
      </c>
      <c r="G195" s="3">
        <v>15000</v>
      </c>
      <c r="H195" s="3" t="str">
        <f t="shared" si="3"/>
        <v>$_</v>
      </c>
      <c r="I195" t="s">
        <v>9</v>
      </c>
      <c r="J195" s="3">
        <f>SUM(Table4[[#This Row],[Sales Amount]]-Table4[[#This Row],[Target]])</f>
        <v>-330</v>
      </c>
    </row>
    <row r="196" spans="1:10" ht="15" hidden="1" thickTop="1" x14ac:dyDescent="0.35">
      <c r="A196" s="2">
        <v>44378</v>
      </c>
      <c r="B196" t="s">
        <v>5</v>
      </c>
      <c r="C196" t="s">
        <v>6</v>
      </c>
      <c r="D196" t="s">
        <v>7</v>
      </c>
      <c r="E196" t="s">
        <v>8</v>
      </c>
      <c r="F196" s="3">
        <v>16614.400000000001</v>
      </c>
      <c r="G196" s="3">
        <v>15000</v>
      </c>
      <c r="H196" s="3">
        <f t="shared" si="3"/>
        <v>1661.4400000000003</v>
      </c>
      <c r="I196" t="s">
        <v>9</v>
      </c>
      <c r="J196" s="3">
        <f>SUM(Table4[[#This Row],[Sales Amount]]-Table4[[#This Row],[Target]])</f>
        <v>1614.4000000000015</v>
      </c>
    </row>
    <row r="197" spans="1:10" ht="15" hidden="1" thickTop="1" x14ac:dyDescent="0.35">
      <c r="A197" s="2">
        <v>44378</v>
      </c>
      <c r="B197" t="s">
        <v>66</v>
      </c>
      <c r="C197" t="s">
        <v>67</v>
      </c>
      <c r="D197" t="s">
        <v>68</v>
      </c>
      <c r="E197" t="s">
        <v>8</v>
      </c>
      <c r="F197" s="3">
        <v>20076.7</v>
      </c>
      <c r="G197" s="3">
        <v>15000</v>
      </c>
      <c r="H197" s="3">
        <f t="shared" si="3"/>
        <v>2007.67</v>
      </c>
      <c r="I197" t="s">
        <v>41</v>
      </c>
      <c r="J197" s="3">
        <f>SUM(Table4[[#This Row],[Sales Amount]]-Table4[[#This Row],[Target]])</f>
        <v>5076.7000000000007</v>
      </c>
    </row>
    <row r="198" spans="1:10" ht="15" hidden="1" thickTop="1" x14ac:dyDescent="0.35">
      <c r="A198" s="2">
        <v>44378</v>
      </c>
      <c r="B198" t="s">
        <v>14</v>
      </c>
      <c r="C198" t="s">
        <v>15</v>
      </c>
      <c r="D198" t="s">
        <v>16</v>
      </c>
      <c r="E198" t="s">
        <v>8</v>
      </c>
      <c r="F198" s="3">
        <v>21482.999999999996</v>
      </c>
      <c r="G198" s="3">
        <v>15000</v>
      </c>
      <c r="H198" s="3">
        <f t="shared" si="3"/>
        <v>2148.2999999999997</v>
      </c>
      <c r="I198" t="s">
        <v>41</v>
      </c>
      <c r="J198" s="3">
        <f>SUM(Table4[[#This Row],[Sales Amount]]-Table4[[#This Row],[Target]])</f>
        <v>6482.9999999999964</v>
      </c>
    </row>
    <row r="199" spans="1:10" ht="15" hidden="1" thickTop="1" x14ac:dyDescent="0.35">
      <c r="A199" s="2">
        <v>44378</v>
      </c>
      <c r="B199" t="s">
        <v>25</v>
      </c>
      <c r="C199" t="s">
        <v>26</v>
      </c>
      <c r="D199" t="s">
        <v>27</v>
      </c>
      <c r="E199" t="s">
        <v>8</v>
      </c>
      <c r="F199" s="3">
        <v>30776.799999999999</v>
      </c>
      <c r="G199" s="3">
        <v>15000</v>
      </c>
      <c r="H199" s="3">
        <f t="shared" si="3"/>
        <v>3077.6800000000003</v>
      </c>
      <c r="I199" t="s">
        <v>9</v>
      </c>
      <c r="J199" s="3">
        <f>SUM(Table4[[#This Row],[Sales Amount]]-Table4[[#This Row],[Target]])</f>
        <v>15776.8</v>
      </c>
    </row>
    <row r="200" spans="1:10" ht="15" hidden="1" thickTop="1" x14ac:dyDescent="0.35">
      <c r="A200" s="2">
        <v>44378</v>
      </c>
      <c r="B200" t="s">
        <v>35</v>
      </c>
      <c r="C200" t="s">
        <v>36</v>
      </c>
      <c r="D200" t="s">
        <v>37</v>
      </c>
      <c r="E200" t="s">
        <v>20</v>
      </c>
      <c r="F200" s="3">
        <v>3465</v>
      </c>
      <c r="G200" s="3">
        <v>15000</v>
      </c>
      <c r="H200" s="3" t="str">
        <f t="shared" si="3"/>
        <v>$_</v>
      </c>
      <c r="I200" t="s">
        <v>13</v>
      </c>
      <c r="J200" s="3">
        <f>SUM(Table4[[#This Row],[Sales Amount]]-Table4[[#This Row],[Target]])</f>
        <v>-11535</v>
      </c>
    </row>
    <row r="201" spans="1:10" ht="15" hidden="1" thickTop="1" x14ac:dyDescent="0.35">
      <c r="A201" s="2">
        <v>44378</v>
      </c>
      <c r="B201" t="s">
        <v>51</v>
      </c>
      <c r="C201" t="s">
        <v>52</v>
      </c>
      <c r="D201" t="s">
        <v>53</v>
      </c>
      <c r="E201" t="s">
        <v>20</v>
      </c>
      <c r="F201" s="3">
        <v>5332.7999999999993</v>
      </c>
      <c r="G201" s="3">
        <v>15000</v>
      </c>
      <c r="H201" s="3" t="str">
        <f t="shared" si="3"/>
        <v>$_</v>
      </c>
      <c r="I201" t="s">
        <v>13</v>
      </c>
      <c r="J201" s="3">
        <f>SUM(Table4[[#This Row],[Sales Amount]]-Table4[[#This Row],[Target]])</f>
        <v>-9667.2000000000007</v>
      </c>
    </row>
    <row r="202" spans="1:10" ht="15" hidden="1" thickTop="1" x14ac:dyDescent="0.35">
      <c r="A202" s="2">
        <v>44378</v>
      </c>
      <c r="B202" t="s">
        <v>42</v>
      </c>
      <c r="C202" t="s">
        <v>43</v>
      </c>
      <c r="D202" t="s">
        <v>44</v>
      </c>
      <c r="E202" t="s">
        <v>20</v>
      </c>
      <c r="F202" s="3">
        <v>8065.5999999999995</v>
      </c>
      <c r="G202" s="3">
        <v>15000</v>
      </c>
      <c r="H202" s="3" t="str">
        <f t="shared" si="3"/>
        <v>$_</v>
      </c>
      <c r="I202" t="s">
        <v>41</v>
      </c>
      <c r="J202" s="3">
        <f>SUM(Table4[[#This Row],[Sales Amount]]-Table4[[#This Row],[Target]])</f>
        <v>-6934.4000000000005</v>
      </c>
    </row>
    <row r="203" spans="1:10" ht="15" hidden="1" thickTop="1" x14ac:dyDescent="0.35">
      <c r="A203" s="2">
        <v>44378</v>
      </c>
      <c r="B203" t="s">
        <v>42</v>
      </c>
      <c r="C203" t="s">
        <v>43</v>
      </c>
      <c r="D203" t="s">
        <v>44</v>
      </c>
      <c r="E203" t="s">
        <v>20</v>
      </c>
      <c r="F203" s="3">
        <v>10067.200000000001</v>
      </c>
      <c r="G203" s="3">
        <v>15000</v>
      </c>
      <c r="H203" s="3" t="str">
        <f t="shared" si="3"/>
        <v>$_</v>
      </c>
      <c r="I203" t="s">
        <v>41</v>
      </c>
      <c r="J203" s="3">
        <f>SUM(Table4[[#This Row],[Sales Amount]]-Table4[[#This Row],[Target]])</f>
        <v>-4932.7999999999993</v>
      </c>
    </row>
    <row r="204" spans="1:10" ht="15" hidden="1" thickTop="1" x14ac:dyDescent="0.35">
      <c r="A204" s="2">
        <v>44378</v>
      </c>
      <c r="B204" t="s">
        <v>42</v>
      </c>
      <c r="C204" t="s">
        <v>43</v>
      </c>
      <c r="D204" t="s">
        <v>44</v>
      </c>
      <c r="E204" t="s">
        <v>20</v>
      </c>
      <c r="F204" s="3">
        <v>10648.999999999998</v>
      </c>
      <c r="G204" s="3">
        <v>15000</v>
      </c>
      <c r="H204" s="3" t="str">
        <f t="shared" si="3"/>
        <v>$_</v>
      </c>
      <c r="I204" t="s">
        <v>41</v>
      </c>
      <c r="J204" s="3">
        <f>SUM(Table4[[#This Row],[Sales Amount]]-Table4[[#This Row],[Target]])</f>
        <v>-4351.0000000000018</v>
      </c>
    </row>
    <row r="205" spans="1:10" ht="15" hidden="1" thickTop="1" x14ac:dyDescent="0.35">
      <c r="A205" s="2">
        <v>44378</v>
      </c>
      <c r="B205" t="s">
        <v>51</v>
      </c>
      <c r="C205" t="s">
        <v>52</v>
      </c>
      <c r="D205" t="s">
        <v>53</v>
      </c>
      <c r="E205" t="s">
        <v>20</v>
      </c>
      <c r="F205" s="3">
        <v>10679.400000000001</v>
      </c>
      <c r="G205" s="3">
        <v>15000</v>
      </c>
      <c r="H205" s="3" t="str">
        <f t="shared" si="3"/>
        <v>$_</v>
      </c>
      <c r="I205" t="s">
        <v>41</v>
      </c>
      <c r="J205" s="3">
        <f>SUM(Table4[[#This Row],[Sales Amount]]-Table4[[#This Row],[Target]])</f>
        <v>-4320.5999999999985</v>
      </c>
    </row>
    <row r="206" spans="1:10" ht="15" hidden="1" thickTop="1" x14ac:dyDescent="0.35">
      <c r="A206" s="2">
        <v>44378</v>
      </c>
      <c r="B206" t="s">
        <v>63</v>
      </c>
      <c r="C206" t="s">
        <v>64</v>
      </c>
      <c r="D206" t="s">
        <v>65</v>
      </c>
      <c r="E206" t="s">
        <v>20</v>
      </c>
      <c r="F206" s="3">
        <v>11155.5</v>
      </c>
      <c r="G206" s="3">
        <v>15000</v>
      </c>
      <c r="H206" s="3" t="str">
        <f t="shared" si="3"/>
        <v>$_</v>
      </c>
      <c r="I206" t="s">
        <v>9</v>
      </c>
      <c r="J206" s="3">
        <f>SUM(Table4[[#This Row],[Sales Amount]]-Table4[[#This Row],[Target]])</f>
        <v>-3844.5</v>
      </c>
    </row>
    <row r="207" spans="1:10" ht="15" hidden="1" thickTop="1" x14ac:dyDescent="0.35">
      <c r="A207" s="2">
        <v>44378</v>
      </c>
      <c r="B207" t="s">
        <v>42</v>
      </c>
      <c r="C207" t="s">
        <v>43</v>
      </c>
      <c r="D207" t="s">
        <v>44</v>
      </c>
      <c r="E207" t="s">
        <v>20</v>
      </c>
      <c r="F207" s="3">
        <v>11543</v>
      </c>
      <c r="G207" s="3">
        <v>15000</v>
      </c>
      <c r="H207" s="3" t="str">
        <f t="shared" si="3"/>
        <v>$_</v>
      </c>
      <c r="I207" t="s">
        <v>9</v>
      </c>
      <c r="J207" s="3">
        <f>SUM(Table4[[#This Row],[Sales Amount]]-Table4[[#This Row],[Target]])</f>
        <v>-3457</v>
      </c>
    </row>
    <row r="208" spans="1:10" ht="15" hidden="1" thickTop="1" x14ac:dyDescent="0.35">
      <c r="A208" s="2">
        <v>44378</v>
      </c>
      <c r="B208" t="s">
        <v>42</v>
      </c>
      <c r="C208" t="s">
        <v>43</v>
      </c>
      <c r="D208" t="s">
        <v>44</v>
      </c>
      <c r="E208" t="s">
        <v>20</v>
      </c>
      <c r="F208" s="3">
        <v>15633.199999999999</v>
      </c>
      <c r="G208" s="3">
        <v>15000</v>
      </c>
      <c r="H208" s="3">
        <f t="shared" si="3"/>
        <v>1563.32</v>
      </c>
      <c r="I208" t="s">
        <v>13</v>
      </c>
      <c r="J208" s="3">
        <f>SUM(Table4[[#This Row],[Sales Amount]]-Table4[[#This Row],[Target]])</f>
        <v>633.19999999999891</v>
      </c>
    </row>
    <row r="209" spans="1:10" ht="15" hidden="1" thickTop="1" x14ac:dyDescent="0.35">
      <c r="A209" s="2">
        <v>44378</v>
      </c>
      <c r="B209" t="s">
        <v>42</v>
      </c>
      <c r="C209" t="s">
        <v>43</v>
      </c>
      <c r="D209" t="s">
        <v>44</v>
      </c>
      <c r="E209" t="s">
        <v>20</v>
      </c>
      <c r="F209" s="3">
        <v>20868.399999999998</v>
      </c>
      <c r="G209" s="3">
        <v>15000</v>
      </c>
      <c r="H209" s="3">
        <f t="shared" si="3"/>
        <v>2086.8399999999997</v>
      </c>
      <c r="I209" t="s">
        <v>13</v>
      </c>
      <c r="J209" s="3">
        <f>SUM(Table4[[#This Row],[Sales Amount]]-Table4[[#This Row],[Target]])</f>
        <v>5868.3999999999978</v>
      </c>
    </row>
    <row r="210" spans="1:10" ht="15" hidden="1" thickTop="1" x14ac:dyDescent="0.35">
      <c r="A210" s="2">
        <v>44378</v>
      </c>
      <c r="B210" t="s">
        <v>42</v>
      </c>
      <c r="C210" t="s">
        <v>43</v>
      </c>
      <c r="D210" t="s">
        <v>44</v>
      </c>
      <c r="E210" t="s">
        <v>20</v>
      </c>
      <c r="F210" s="3">
        <v>24395.100000000002</v>
      </c>
      <c r="G210" s="3">
        <v>15000</v>
      </c>
      <c r="H210" s="3">
        <f t="shared" si="3"/>
        <v>2439.5100000000002</v>
      </c>
      <c r="I210" t="s">
        <v>9</v>
      </c>
      <c r="J210" s="3">
        <f>SUM(Table4[[#This Row],[Sales Amount]]-Table4[[#This Row],[Target]])</f>
        <v>9395.1000000000022</v>
      </c>
    </row>
    <row r="211" spans="1:10" ht="15" hidden="1" thickTop="1" x14ac:dyDescent="0.35">
      <c r="A211" s="2">
        <v>44378</v>
      </c>
      <c r="B211" t="s">
        <v>57</v>
      </c>
      <c r="C211" t="s">
        <v>58</v>
      </c>
      <c r="D211" t="s">
        <v>59</v>
      </c>
      <c r="E211" t="s">
        <v>31</v>
      </c>
      <c r="F211" s="3">
        <v>15957.2</v>
      </c>
      <c r="G211" s="3">
        <v>15000</v>
      </c>
      <c r="H211" s="3">
        <f t="shared" si="3"/>
        <v>1595.7200000000003</v>
      </c>
      <c r="I211" t="s">
        <v>41</v>
      </c>
      <c r="J211" s="3">
        <f>SUM(Table4[[#This Row],[Sales Amount]]-Table4[[#This Row],[Target]])</f>
        <v>957.20000000000073</v>
      </c>
    </row>
    <row r="212" spans="1:10" ht="15" hidden="1" thickTop="1" x14ac:dyDescent="0.35">
      <c r="A212" s="2">
        <v>44378</v>
      </c>
      <c r="B212" t="s">
        <v>69</v>
      </c>
      <c r="C212" t="s">
        <v>70</v>
      </c>
      <c r="D212" t="s">
        <v>71</v>
      </c>
      <c r="E212" t="s">
        <v>31</v>
      </c>
      <c r="F212" s="3">
        <v>16492</v>
      </c>
      <c r="G212" s="3">
        <v>15000</v>
      </c>
      <c r="H212" s="3">
        <f t="shared" si="3"/>
        <v>1649.2</v>
      </c>
      <c r="I212" t="s">
        <v>9</v>
      </c>
      <c r="J212" s="3">
        <f>SUM(Table4[[#This Row],[Sales Amount]]-Table4[[#This Row],[Target]])</f>
        <v>1492</v>
      </c>
    </row>
    <row r="213" spans="1:10" ht="15" hidden="1" thickTop="1" x14ac:dyDescent="0.35">
      <c r="A213" s="2">
        <v>44378</v>
      </c>
      <c r="B213" t="s">
        <v>60</v>
      </c>
      <c r="C213" t="s">
        <v>61</v>
      </c>
      <c r="D213" t="s">
        <v>62</v>
      </c>
      <c r="E213" t="s">
        <v>31</v>
      </c>
      <c r="F213" s="3">
        <v>21295.4</v>
      </c>
      <c r="G213" s="3">
        <v>15000</v>
      </c>
      <c r="H213" s="3">
        <f t="shared" si="3"/>
        <v>2129.5400000000004</v>
      </c>
      <c r="I213" t="s">
        <v>9</v>
      </c>
      <c r="J213" s="3">
        <f>SUM(Table4[[#This Row],[Sales Amount]]-Table4[[#This Row],[Target]])</f>
        <v>6295.4000000000015</v>
      </c>
    </row>
    <row r="214" spans="1:10" ht="15" hidden="1" thickTop="1" x14ac:dyDescent="0.35">
      <c r="A214" s="2">
        <v>44378</v>
      </c>
      <c r="B214" t="s">
        <v>28</v>
      </c>
      <c r="C214" t="s">
        <v>29</v>
      </c>
      <c r="D214" t="s">
        <v>30</v>
      </c>
      <c r="E214" t="s">
        <v>31</v>
      </c>
      <c r="F214" s="3">
        <v>25518.800000000003</v>
      </c>
      <c r="G214" s="3">
        <v>15000</v>
      </c>
      <c r="H214" s="3">
        <f t="shared" si="3"/>
        <v>2551.8800000000006</v>
      </c>
      <c r="I214" t="s">
        <v>9</v>
      </c>
      <c r="J214" s="3">
        <f>SUM(Table4[[#This Row],[Sales Amount]]-Table4[[#This Row],[Target]])</f>
        <v>10518.800000000003</v>
      </c>
    </row>
    <row r="215" spans="1:10" ht="15" hidden="1" thickTop="1" x14ac:dyDescent="0.35">
      <c r="A215" s="2">
        <v>44378</v>
      </c>
      <c r="B215" t="s">
        <v>28</v>
      </c>
      <c r="C215" t="s">
        <v>29</v>
      </c>
      <c r="D215" t="s">
        <v>30</v>
      </c>
      <c r="E215" t="s">
        <v>31</v>
      </c>
      <c r="F215" s="3">
        <v>27676.6</v>
      </c>
      <c r="G215" s="3">
        <v>15000</v>
      </c>
      <c r="H215" s="3">
        <f t="shared" si="3"/>
        <v>2767.66</v>
      </c>
      <c r="I215" t="s">
        <v>13</v>
      </c>
      <c r="J215" s="3">
        <f>SUM(Table4[[#This Row],[Sales Amount]]-Table4[[#This Row],[Target]])</f>
        <v>12676.599999999999</v>
      </c>
    </row>
    <row r="216" spans="1:10" ht="15" hidden="1" thickTop="1" x14ac:dyDescent="0.35">
      <c r="A216" s="2">
        <v>44378</v>
      </c>
      <c r="B216" t="s">
        <v>60</v>
      </c>
      <c r="C216" t="s">
        <v>61</v>
      </c>
      <c r="D216" t="s">
        <v>62</v>
      </c>
      <c r="E216" t="s">
        <v>31</v>
      </c>
      <c r="F216" s="3">
        <v>28395</v>
      </c>
      <c r="G216" s="3">
        <v>15000</v>
      </c>
      <c r="H216" s="3">
        <f t="shared" si="3"/>
        <v>2839.5</v>
      </c>
      <c r="I216" t="s">
        <v>41</v>
      </c>
      <c r="J216" s="3">
        <f>SUM(Table4[[#This Row],[Sales Amount]]-Table4[[#This Row],[Target]])</f>
        <v>13395</v>
      </c>
    </row>
    <row r="217" spans="1:10" ht="15" hidden="1" thickTop="1" x14ac:dyDescent="0.35">
      <c r="A217" s="2">
        <v>44378</v>
      </c>
      <c r="B217" t="s">
        <v>69</v>
      </c>
      <c r="C217" t="s">
        <v>70</v>
      </c>
      <c r="D217" t="s">
        <v>71</v>
      </c>
      <c r="E217" t="s">
        <v>31</v>
      </c>
      <c r="F217" s="3">
        <v>41826.400000000001</v>
      </c>
      <c r="G217" s="3">
        <v>15000</v>
      </c>
      <c r="H217" s="3">
        <f t="shared" si="3"/>
        <v>4182.6400000000003</v>
      </c>
      <c r="I217" t="s">
        <v>41</v>
      </c>
      <c r="J217" s="3">
        <f>SUM(Table4[[#This Row],[Sales Amount]]-Table4[[#This Row],[Target]])</f>
        <v>26826.400000000001</v>
      </c>
    </row>
    <row r="218" spans="1:10" ht="15" hidden="1" thickTop="1" x14ac:dyDescent="0.35">
      <c r="A218" s="2">
        <v>44378</v>
      </c>
      <c r="B218" t="s">
        <v>69</v>
      </c>
      <c r="C218" t="s">
        <v>70</v>
      </c>
      <c r="D218" t="s">
        <v>71</v>
      </c>
      <c r="E218" t="s">
        <v>31</v>
      </c>
      <c r="F218" s="3">
        <v>49055.999999999993</v>
      </c>
      <c r="G218" s="3">
        <v>15000</v>
      </c>
      <c r="H218" s="3">
        <f t="shared" si="3"/>
        <v>4905.5999999999995</v>
      </c>
      <c r="I218" t="s">
        <v>9</v>
      </c>
      <c r="J218" s="3">
        <f>SUM(Table4[[#This Row],[Sales Amount]]-Table4[[#This Row],[Target]])</f>
        <v>34055.999999999993</v>
      </c>
    </row>
    <row r="219" spans="1:10" ht="15" hidden="1" thickTop="1" x14ac:dyDescent="0.35">
      <c r="A219" s="2">
        <v>44378</v>
      </c>
      <c r="B219" t="s">
        <v>54</v>
      </c>
      <c r="C219" t="s">
        <v>55</v>
      </c>
      <c r="D219" t="s">
        <v>56</v>
      </c>
      <c r="E219" t="s">
        <v>24</v>
      </c>
      <c r="F219" s="3">
        <v>9405.2999999999993</v>
      </c>
      <c r="G219" s="3">
        <v>15000</v>
      </c>
      <c r="H219" s="3" t="str">
        <f t="shared" si="3"/>
        <v>$_</v>
      </c>
      <c r="I219" t="s">
        <v>13</v>
      </c>
      <c r="J219" s="3">
        <f>SUM(Table4[[#This Row],[Sales Amount]]-Table4[[#This Row],[Target]])</f>
        <v>-5594.7000000000007</v>
      </c>
    </row>
    <row r="220" spans="1:10" ht="15" hidden="1" thickTop="1" x14ac:dyDescent="0.35">
      <c r="A220" s="2">
        <v>44378</v>
      </c>
      <c r="B220" t="s">
        <v>45</v>
      </c>
      <c r="C220" t="s">
        <v>46</v>
      </c>
      <c r="D220" t="s">
        <v>47</v>
      </c>
      <c r="E220" t="s">
        <v>24</v>
      </c>
      <c r="F220" s="3">
        <v>9704.1999999999989</v>
      </c>
      <c r="G220" s="3">
        <v>15000</v>
      </c>
      <c r="H220" s="3" t="str">
        <f t="shared" si="3"/>
        <v>$_</v>
      </c>
      <c r="I220" t="s">
        <v>41</v>
      </c>
      <c r="J220" s="3">
        <f>SUM(Table4[[#This Row],[Sales Amount]]-Table4[[#This Row],[Target]])</f>
        <v>-5295.8000000000011</v>
      </c>
    </row>
    <row r="221" spans="1:10" ht="15" hidden="1" thickTop="1" x14ac:dyDescent="0.35">
      <c r="A221" s="2">
        <v>44378</v>
      </c>
      <c r="B221" t="s">
        <v>54</v>
      </c>
      <c r="C221" t="s">
        <v>55</v>
      </c>
      <c r="D221" t="s">
        <v>56</v>
      </c>
      <c r="E221" t="s">
        <v>24</v>
      </c>
      <c r="F221" s="3">
        <v>13674</v>
      </c>
      <c r="G221" s="3">
        <v>15000</v>
      </c>
      <c r="H221" s="3" t="str">
        <f t="shared" si="3"/>
        <v>$_</v>
      </c>
      <c r="I221" t="s">
        <v>13</v>
      </c>
      <c r="J221" s="3">
        <f>SUM(Table4[[#This Row],[Sales Amount]]-Table4[[#This Row],[Target]])</f>
        <v>-1326</v>
      </c>
    </row>
    <row r="222" spans="1:10" ht="15" hidden="1" thickTop="1" x14ac:dyDescent="0.35">
      <c r="A222" s="2">
        <v>44378</v>
      </c>
      <c r="B222" t="s">
        <v>32</v>
      </c>
      <c r="C222" t="s">
        <v>33</v>
      </c>
      <c r="D222" t="s">
        <v>34</v>
      </c>
      <c r="E222" t="s">
        <v>24</v>
      </c>
      <c r="F222" s="3">
        <v>21120.400000000001</v>
      </c>
      <c r="G222" s="3">
        <v>15000</v>
      </c>
      <c r="H222" s="3">
        <f t="shared" si="3"/>
        <v>2112.0400000000004</v>
      </c>
      <c r="I222" t="s">
        <v>13</v>
      </c>
      <c r="J222" s="3">
        <f>SUM(Table4[[#This Row],[Sales Amount]]-Table4[[#This Row],[Target]])</f>
        <v>6120.4000000000015</v>
      </c>
    </row>
    <row r="223" spans="1:10" ht="15" hidden="1" thickTop="1" x14ac:dyDescent="0.35">
      <c r="A223" s="2">
        <v>44378</v>
      </c>
      <c r="B223" t="s">
        <v>32</v>
      </c>
      <c r="C223" t="s">
        <v>33</v>
      </c>
      <c r="D223" t="s">
        <v>34</v>
      </c>
      <c r="E223" t="s">
        <v>24</v>
      </c>
      <c r="F223" s="3">
        <v>23997.600000000002</v>
      </c>
      <c r="G223" s="3">
        <v>15000</v>
      </c>
      <c r="H223" s="3">
        <f t="shared" si="3"/>
        <v>2399.7600000000002</v>
      </c>
      <c r="I223" t="s">
        <v>9</v>
      </c>
      <c r="J223" s="3">
        <f>SUM(Table4[[#This Row],[Sales Amount]]-Table4[[#This Row],[Target]])</f>
        <v>8997.6000000000022</v>
      </c>
    </row>
    <row r="224" spans="1:10" ht="15" hidden="1" thickTop="1" x14ac:dyDescent="0.35">
      <c r="A224" s="2">
        <v>44378</v>
      </c>
      <c r="B224" t="s">
        <v>32</v>
      </c>
      <c r="C224" t="s">
        <v>33</v>
      </c>
      <c r="D224" t="s">
        <v>34</v>
      </c>
      <c r="E224" t="s">
        <v>24</v>
      </c>
      <c r="F224" s="3">
        <v>35715.4</v>
      </c>
      <c r="G224" s="3">
        <v>15000</v>
      </c>
      <c r="H224" s="3">
        <f t="shared" si="3"/>
        <v>3571.5400000000004</v>
      </c>
      <c r="I224" t="s">
        <v>41</v>
      </c>
      <c r="J224" s="3">
        <f>SUM(Table4[[#This Row],[Sales Amount]]-Table4[[#This Row],[Target]])</f>
        <v>20715.400000000001</v>
      </c>
    </row>
    <row r="225" spans="1:10" ht="15" hidden="1" thickTop="1" x14ac:dyDescent="0.35">
      <c r="A225" s="2">
        <v>44409</v>
      </c>
      <c r="B225" t="s">
        <v>66</v>
      </c>
      <c r="C225" t="s">
        <v>67</v>
      </c>
      <c r="D225" t="s">
        <v>68</v>
      </c>
      <c r="E225" t="s">
        <v>8</v>
      </c>
      <c r="F225" s="3">
        <v>8625</v>
      </c>
      <c r="G225" s="3">
        <v>15000</v>
      </c>
      <c r="H225" s="3" t="str">
        <f t="shared" si="3"/>
        <v>$_</v>
      </c>
      <c r="I225" t="s">
        <v>13</v>
      </c>
      <c r="J225" s="3">
        <f>SUM(Table4[[#This Row],[Sales Amount]]-Table4[[#This Row],[Target]])</f>
        <v>-6375</v>
      </c>
    </row>
    <row r="226" spans="1:10" ht="15" hidden="1" thickTop="1" x14ac:dyDescent="0.35">
      <c r="A226" s="2">
        <v>44409</v>
      </c>
      <c r="B226" t="s">
        <v>14</v>
      </c>
      <c r="C226" t="s">
        <v>15</v>
      </c>
      <c r="D226" t="s">
        <v>16</v>
      </c>
      <c r="E226" t="s">
        <v>8</v>
      </c>
      <c r="F226" s="3">
        <v>9794</v>
      </c>
      <c r="G226" s="3">
        <v>15000</v>
      </c>
      <c r="H226" s="3" t="str">
        <f t="shared" si="3"/>
        <v>$_</v>
      </c>
      <c r="I226" t="s">
        <v>13</v>
      </c>
      <c r="J226" s="3">
        <f>SUM(Table4[[#This Row],[Sales Amount]]-Table4[[#This Row],[Target]])</f>
        <v>-5206</v>
      </c>
    </row>
    <row r="227" spans="1:10" ht="15" hidden="1" thickTop="1" x14ac:dyDescent="0.35">
      <c r="A227" s="2">
        <v>44409</v>
      </c>
      <c r="B227" t="s">
        <v>66</v>
      </c>
      <c r="C227" t="s">
        <v>67</v>
      </c>
      <c r="D227" t="s">
        <v>68</v>
      </c>
      <c r="E227" t="s">
        <v>8</v>
      </c>
      <c r="F227" s="3">
        <v>16321.6</v>
      </c>
      <c r="G227" s="3">
        <v>15000</v>
      </c>
      <c r="H227" s="3">
        <f t="shared" si="3"/>
        <v>1632.16</v>
      </c>
      <c r="I227" t="s">
        <v>9</v>
      </c>
      <c r="J227" s="3">
        <f>SUM(Table4[[#This Row],[Sales Amount]]-Table4[[#This Row],[Target]])</f>
        <v>1321.6000000000004</v>
      </c>
    </row>
    <row r="228" spans="1:10" ht="15" hidden="1" thickTop="1" x14ac:dyDescent="0.35">
      <c r="A228" s="2">
        <v>44409</v>
      </c>
      <c r="B228" t="s">
        <v>14</v>
      </c>
      <c r="C228" t="s">
        <v>15</v>
      </c>
      <c r="D228" t="s">
        <v>16</v>
      </c>
      <c r="E228" t="s">
        <v>8</v>
      </c>
      <c r="F228" s="3">
        <v>19678.8</v>
      </c>
      <c r="G228" s="3">
        <v>15000</v>
      </c>
      <c r="H228" s="3">
        <f t="shared" si="3"/>
        <v>1967.88</v>
      </c>
      <c r="I228" t="s">
        <v>13</v>
      </c>
      <c r="J228" s="3">
        <f>SUM(Table4[[#This Row],[Sales Amount]]-Table4[[#This Row],[Target]])</f>
        <v>4678.7999999999993</v>
      </c>
    </row>
    <row r="229" spans="1:10" ht="15" hidden="1" thickTop="1" x14ac:dyDescent="0.35">
      <c r="A229" s="2">
        <v>44409</v>
      </c>
      <c r="B229" t="s">
        <v>66</v>
      </c>
      <c r="C229" t="s">
        <v>67</v>
      </c>
      <c r="D229" t="s">
        <v>68</v>
      </c>
      <c r="E229" t="s">
        <v>8</v>
      </c>
      <c r="F229" s="3">
        <v>33694.800000000003</v>
      </c>
      <c r="G229" s="3">
        <v>15000</v>
      </c>
      <c r="H229" s="3">
        <f t="shared" si="3"/>
        <v>3369.4800000000005</v>
      </c>
      <c r="I229" t="s">
        <v>13</v>
      </c>
      <c r="J229" s="3">
        <f>SUM(Table4[[#This Row],[Sales Amount]]-Table4[[#This Row],[Target]])</f>
        <v>18694.800000000003</v>
      </c>
    </row>
    <row r="230" spans="1:10" ht="15" hidden="1" thickTop="1" x14ac:dyDescent="0.35">
      <c r="A230" s="2">
        <v>44409</v>
      </c>
      <c r="B230" t="s">
        <v>10</v>
      </c>
      <c r="C230" t="s">
        <v>11</v>
      </c>
      <c r="D230" t="s">
        <v>12</v>
      </c>
      <c r="E230" t="s">
        <v>8</v>
      </c>
      <c r="F230" s="3">
        <v>39236</v>
      </c>
      <c r="G230" s="3">
        <v>15000</v>
      </c>
      <c r="H230" s="3">
        <f t="shared" si="3"/>
        <v>3923.6000000000004</v>
      </c>
      <c r="I230" t="s">
        <v>41</v>
      </c>
      <c r="J230" s="3">
        <f>SUM(Table4[[#This Row],[Sales Amount]]-Table4[[#This Row],[Target]])</f>
        <v>24236</v>
      </c>
    </row>
    <row r="231" spans="1:10" ht="15" hidden="1" thickTop="1" x14ac:dyDescent="0.35">
      <c r="A231" s="2">
        <v>44409</v>
      </c>
      <c r="B231" t="s">
        <v>14</v>
      </c>
      <c r="C231" t="s">
        <v>15</v>
      </c>
      <c r="D231" t="s">
        <v>16</v>
      </c>
      <c r="E231" t="s">
        <v>8</v>
      </c>
      <c r="F231" s="3">
        <v>43088.2</v>
      </c>
      <c r="G231" s="3">
        <v>15000</v>
      </c>
      <c r="H231" s="3">
        <f t="shared" si="3"/>
        <v>4308.82</v>
      </c>
      <c r="I231" t="s">
        <v>9</v>
      </c>
      <c r="J231" s="3">
        <f>SUM(Table4[[#This Row],[Sales Amount]]-Table4[[#This Row],[Target]])</f>
        <v>28088.199999999997</v>
      </c>
    </row>
    <row r="232" spans="1:10" ht="15" hidden="1" thickTop="1" x14ac:dyDescent="0.35">
      <c r="A232" s="2">
        <v>44409</v>
      </c>
      <c r="B232" t="s">
        <v>42</v>
      </c>
      <c r="C232" t="s">
        <v>43</v>
      </c>
      <c r="D232" t="s">
        <v>44</v>
      </c>
      <c r="E232" t="s">
        <v>20</v>
      </c>
      <c r="F232" s="3">
        <v>3760.5</v>
      </c>
      <c r="G232" s="3">
        <v>15000</v>
      </c>
      <c r="H232" s="3" t="str">
        <f t="shared" si="3"/>
        <v>$_</v>
      </c>
      <c r="I232" t="s">
        <v>9</v>
      </c>
      <c r="J232" s="3">
        <f>SUM(Table4[[#This Row],[Sales Amount]]-Table4[[#This Row],[Target]])</f>
        <v>-11239.5</v>
      </c>
    </row>
    <row r="233" spans="1:10" ht="15" hidden="1" thickTop="1" x14ac:dyDescent="0.35">
      <c r="A233" s="2">
        <v>44409</v>
      </c>
      <c r="B233" t="s">
        <v>42</v>
      </c>
      <c r="C233" t="s">
        <v>43</v>
      </c>
      <c r="D233" t="s">
        <v>44</v>
      </c>
      <c r="E233" t="s">
        <v>20</v>
      </c>
      <c r="F233" s="3">
        <v>4322.8</v>
      </c>
      <c r="G233" s="3">
        <v>15000</v>
      </c>
      <c r="H233" s="3" t="str">
        <f t="shared" si="3"/>
        <v>$_</v>
      </c>
      <c r="I233" t="s">
        <v>41</v>
      </c>
      <c r="J233" s="3">
        <f>SUM(Table4[[#This Row],[Sales Amount]]-Table4[[#This Row],[Target]])</f>
        <v>-10677.2</v>
      </c>
    </row>
    <row r="234" spans="1:10" ht="15" hidden="1" thickTop="1" x14ac:dyDescent="0.35">
      <c r="A234" s="2">
        <v>44409</v>
      </c>
      <c r="B234" t="s">
        <v>42</v>
      </c>
      <c r="C234" t="s">
        <v>43</v>
      </c>
      <c r="D234" t="s">
        <v>44</v>
      </c>
      <c r="E234" t="s">
        <v>20</v>
      </c>
      <c r="F234" s="3">
        <v>9697.6</v>
      </c>
      <c r="G234" s="3">
        <v>15000</v>
      </c>
      <c r="H234" s="3" t="str">
        <f t="shared" si="3"/>
        <v>$_</v>
      </c>
      <c r="I234" t="s">
        <v>13</v>
      </c>
      <c r="J234" s="3">
        <f>SUM(Table4[[#This Row],[Sales Amount]]-Table4[[#This Row],[Target]])</f>
        <v>-5302.4</v>
      </c>
    </row>
    <row r="235" spans="1:10" ht="15" hidden="1" thickTop="1" x14ac:dyDescent="0.35">
      <c r="A235" s="2">
        <v>44409</v>
      </c>
      <c r="B235" t="s">
        <v>42</v>
      </c>
      <c r="C235" t="s">
        <v>43</v>
      </c>
      <c r="D235" t="s">
        <v>44</v>
      </c>
      <c r="E235" t="s">
        <v>20</v>
      </c>
      <c r="F235" s="3">
        <v>10391.699999999999</v>
      </c>
      <c r="G235" s="3">
        <v>15000</v>
      </c>
      <c r="H235" s="3" t="str">
        <f t="shared" si="3"/>
        <v>$_</v>
      </c>
      <c r="I235" t="s">
        <v>41</v>
      </c>
      <c r="J235" s="3">
        <f>SUM(Table4[[#This Row],[Sales Amount]]-Table4[[#This Row],[Target]])</f>
        <v>-4608.3000000000011</v>
      </c>
    </row>
    <row r="236" spans="1:10" ht="15" hidden="1" thickTop="1" x14ac:dyDescent="0.35">
      <c r="A236" s="2">
        <v>44409</v>
      </c>
      <c r="B236" t="s">
        <v>63</v>
      </c>
      <c r="C236" t="s">
        <v>64</v>
      </c>
      <c r="D236" t="s">
        <v>65</v>
      </c>
      <c r="E236" t="s">
        <v>20</v>
      </c>
      <c r="F236" s="3">
        <v>15670.2</v>
      </c>
      <c r="G236" s="3">
        <v>15000</v>
      </c>
      <c r="H236" s="3">
        <f t="shared" si="3"/>
        <v>1567.0200000000002</v>
      </c>
      <c r="I236" t="s">
        <v>41</v>
      </c>
      <c r="J236" s="3">
        <f>SUM(Table4[[#This Row],[Sales Amount]]-Table4[[#This Row],[Target]])</f>
        <v>670.20000000000073</v>
      </c>
    </row>
    <row r="237" spans="1:10" ht="15" hidden="1" thickTop="1" x14ac:dyDescent="0.35">
      <c r="A237" s="2">
        <v>44409</v>
      </c>
      <c r="B237" t="s">
        <v>51</v>
      </c>
      <c r="C237" t="s">
        <v>52</v>
      </c>
      <c r="D237" t="s">
        <v>53</v>
      </c>
      <c r="E237" t="s">
        <v>20</v>
      </c>
      <c r="F237" s="3">
        <v>22477.9</v>
      </c>
      <c r="G237" s="3">
        <v>15000</v>
      </c>
      <c r="H237" s="3">
        <f t="shared" si="3"/>
        <v>2247.7900000000004</v>
      </c>
      <c r="I237" t="s">
        <v>13</v>
      </c>
      <c r="J237" s="3">
        <f>SUM(Table4[[#This Row],[Sales Amount]]-Table4[[#This Row],[Target]])</f>
        <v>7477.9000000000015</v>
      </c>
    </row>
    <row r="238" spans="1:10" ht="15" hidden="1" thickTop="1" x14ac:dyDescent="0.35">
      <c r="A238" s="2">
        <v>44409</v>
      </c>
      <c r="B238" t="s">
        <v>51</v>
      </c>
      <c r="C238" t="s">
        <v>52</v>
      </c>
      <c r="D238" t="s">
        <v>53</v>
      </c>
      <c r="E238" t="s">
        <v>20</v>
      </c>
      <c r="F238" s="3">
        <v>36088.1</v>
      </c>
      <c r="G238" s="3">
        <v>15000</v>
      </c>
      <c r="H238" s="3">
        <f t="shared" si="3"/>
        <v>3608.81</v>
      </c>
      <c r="I238" t="s">
        <v>41</v>
      </c>
      <c r="J238" s="3">
        <f>SUM(Table4[[#This Row],[Sales Amount]]-Table4[[#This Row],[Target]])</f>
        <v>21088.1</v>
      </c>
    </row>
    <row r="239" spans="1:10" ht="15" hidden="1" thickTop="1" x14ac:dyDescent="0.35">
      <c r="A239" s="2">
        <v>44409</v>
      </c>
      <c r="B239" t="s">
        <v>17</v>
      </c>
      <c r="C239" t="s">
        <v>18</v>
      </c>
      <c r="D239" t="s">
        <v>19</v>
      </c>
      <c r="E239" t="s">
        <v>20</v>
      </c>
      <c r="F239" s="3">
        <v>43388.100000000006</v>
      </c>
      <c r="G239" s="3">
        <v>15000</v>
      </c>
      <c r="H239" s="3">
        <f t="shared" si="3"/>
        <v>4338.8100000000004</v>
      </c>
      <c r="I239" t="s">
        <v>13</v>
      </c>
      <c r="J239" s="3">
        <f>SUM(Table4[[#This Row],[Sales Amount]]-Table4[[#This Row],[Target]])</f>
        <v>28388.100000000006</v>
      </c>
    </row>
    <row r="240" spans="1:10" ht="15" hidden="1" thickTop="1" x14ac:dyDescent="0.35">
      <c r="A240" s="2">
        <v>44409</v>
      </c>
      <c r="B240" t="s">
        <v>28</v>
      </c>
      <c r="C240" t="s">
        <v>29</v>
      </c>
      <c r="D240" t="s">
        <v>30</v>
      </c>
      <c r="E240" t="s">
        <v>31</v>
      </c>
      <c r="F240" s="3">
        <v>6201</v>
      </c>
      <c r="G240" s="3">
        <v>15000</v>
      </c>
      <c r="H240" s="3" t="str">
        <f t="shared" si="3"/>
        <v>$_</v>
      </c>
      <c r="I240" t="s">
        <v>41</v>
      </c>
      <c r="J240" s="3">
        <f>SUM(Table4[[#This Row],[Sales Amount]]-Table4[[#This Row],[Target]])</f>
        <v>-8799</v>
      </c>
    </row>
    <row r="241" spans="1:10" ht="15" hidden="1" thickTop="1" x14ac:dyDescent="0.35">
      <c r="A241" s="2">
        <v>44409</v>
      </c>
      <c r="B241" t="s">
        <v>57</v>
      </c>
      <c r="C241" t="s">
        <v>58</v>
      </c>
      <c r="D241" t="s">
        <v>59</v>
      </c>
      <c r="E241" t="s">
        <v>31</v>
      </c>
      <c r="F241" s="3">
        <v>6311.4</v>
      </c>
      <c r="G241" s="3">
        <v>15000</v>
      </c>
      <c r="H241" s="3" t="str">
        <f t="shared" si="3"/>
        <v>$_</v>
      </c>
      <c r="I241" t="s">
        <v>41</v>
      </c>
      <c r="J241" s="3">
        <f>SUM(Table4[[#This Row],[Sales Amount]]-Table4[[#This Row],[Target]])</f>
        <v>-8688.6</v>
      </c>
    </row>
    <row r="242" spans="1:10" ht="15" hidden="1" thickTop="1" x14ac:dyDescent="0.35">
      <c r="A242" s="2">
        <v>44409</v>
      </c>
      <c r="B242" t="s">
        <v>38</v>
      </c>
      <c r="C242" t="s">
        <v>39</v>
      </c>
      <c r="D242" t="s">
        <v>40</v>
      </c>
      <c r="E242" t="s">
        <v>31</v>
      </c>
      <c r="F242" s="3">
        <v>7289.6</v>
      </c>
      <c r="G242" s="3">
        <v>15000</v>
      </c>
      <c r="H242" s="3" t="str">
        <f t="shared" si="3"/>
        <v>$_</v>
      </c>
      <c r="I242" t="s">
        <v>9</v>
      </c>
      <c r="J242" s="3">
        <f>SUM(Table4[[#This Row],[Sales Amount]]-Table4[[#This Row],[Target]])</f>
        <v>-7710.4</v>
      </c>
    </row>
    <row r="243" spans="1:10" ht="15" hidden="1" thickTop="1" x14ac:dyDescent="0.35">
      <c r="A243" s="2">
        <v>44409</v>
      </c>
      <c r="B243" t="s">
        <v>38</v>
      </c>
      <c r="C243" t="s">
        <v>39</v>
      </c>
      <c r="D243" t="s">
        <v>40</v>
      </c>
      <c r="E243" t="s">
        <v>31</v>
      </c>
      <c r="F243" s="3">
        <v>8322.4</v>
      </c>
      <c r="G243" s="3">
        <v>15000</v>
      </c>
      <c r="H243" s="3" t="str">
        <f t="shared" si="3"/>
        <v>$_</v>
      </c>
      <c r="I243" t="s">
        <v>9</v>
      </c>
      <c r="J243" s="3">
        <f>SUM(Table4[[#This Row],[Sales Amount]]-Table4[[#This Row],[Target]])</f>
        <v>-6677.6</v>
      </c>
    </row>
    <row r="244" spans="1:10" ht="15" hidden="1" thickTop="1" x14ac:dyDescent="0.35">
      <c r="A244" s="2">
        <v>44409</v>
      </c>
      <c r="B244" t="s">
        <v>60</v>
      </c>
      <c r="C244" t="s">
        <v>61</v>
      </c>
      <c r="D244" t="s">
        <v>62</v>
      </c>
      <c r="E244" t="s">
        <v>31</v>
      </c>
      <c r="F244" s="3">
        <v>8501.9000000000015</v>
      </c>
      <c r="G244" s="3">
        <v>15000</v>
      </c>
      <c r="H244" s="3" t="str">
        <f t="shared" si="3"/>
        <v>$_</v>
      </c>
      <c r="I244" t="s">
        <v>13</v>
      </c>
      <c r="J244" s="3">
        <f>SUM(Table4[[#This Row],[Sales Amount]]-Table4[[#This Row],[Target]])</f>
        <v>-6498.0999999999985</v>
      </c>
    </row>
    <row r="245" spans="1:10" ht="15" hidden="1" thickTop="1" x14ac:dyDescent="0.35">
      <c r="A245" s="2">
        <v>44409</v>
      </c>
      <c r="B245" t="s">
        <v>28</v>
      </c>
      <c r="C245" t="s">
        <v>29</v>
      </c>
      <c r="D245" t="s">
        <v>30</v>
      </c>
      <c r="E245" t="s">
        <v>31</v>
      </c>
      <c r="F245" s="3">
        <v>9708.2999999999993</v>
      </c>
      <c r="G245" s="3">
        <v>15000</v>
      </c>
      <c r="H245" s="3" t="str">
        <f t="shared" si="3"/>
        <v>$_</v>
      </c>
      <c r="I245" t="s">
        <v>13</v>
      </c>
      <c r="J245" s="3">
        <f>SUM(Table4[[#This Row],[Sales Amount]]-Table4[[#This Row],[Target]])</f>
        <v>-5291.7000000000007</v>
      </c>
    </row>
    <row r="246" spans="1:10" ht="15" hidden="1" thickTop="1" x14ac:dyDescent="0.35">
      <c r="A246" s="2">
        <v>44409</v>
      </c>
      <c r="B246" t="s">
        <v>38</v>
      </c>
      <c r="C246" t="s">
        <v>39</v>
      </c>
      <c r="D246" t="s">
        <v>40</v>
      </c>
      <c r="E246" t="s">
        <v>31</v>
      </c>
      <c r="F246" s="3">
        <v>12944.399999999998</v>
      </c>
      <c r="G246" s="3">
        <v>15000</v>
      </c>
      <c r="H246" s="3" t="str">
        <f t="shared" si="3"/>
        <v>$_</v>
      </c>
      <c r="I246" t="s">
        <v>13</v>
      </c>
      <c r="J246" s="3">
        <f>SUM(Table4[[#This Row],[Sales Amount]]-Table4[[#This Row],[Target]])</f>
        <v>-2055.6000000000022</v>
      </c>
    </row>
    <row r="247" spans="1:10" ht="15" hidden="1" thickTop="1" x14ac:dyDescent="0.35">
      <c r="A247" s="2">
        <v>44409</v>
      </c>
      <c r="B247" t="s">
        <v>28</v>
      </c>
      <c r="C247" t="s">
        <v>29</v>
      </c>
      <c r="D247" t="s">
        <v>30</v>
      </c>
      <c r="E247" t="s">
        <v>31</v>
      </c>
      <c r="F247" s="3">
        <v>14248</v>
      </c>
      <c r="G247" s="3">
        <v>15000</v>
      </c>
      <c r="H247" s="3" t="str">
        <f t="shared" si="3"/>
        <v>$_</v>
      </c>
      <c r="I247" t="s">
        <v>13</v>
      </c>
      <c r="J247" s="3">
        <f>SUM(Table4[[#This Row],[Sales Amount]]-Table4[[#This Row],[Target]])</f>
        <v>-752</v>
      </c>
    </row>
    <row r="248" spans="1:10" ht="15" hidden="1" thickTop="1" x14ac:dyDescent="0.35">
      <c r="A248" s="2">
        <v>44409</v>
      </c>
      <c r="B248" t="s">
        <v>38</v>
      </c>
      <c r="C248" t="s">
        <v>39</v>
      </c>
      <c r="D248" t="s">
        <v>40</v>
      </c>
      <c r="E248" t="s">
        <v>31</v>
      </c>
      <c r="F248" s="3">
        <v>18298.399999999998</v>
      </c>
      <c r="G248" s="3">
        <v>15000</v>
      </c>
      <c r="H248" s="3">
        <f t="shared" si="3"/>
        <v>1829.84</v>
      </c>
      <c r="I248" t="s">
        <v>41</v>
      </c>
      <c r="J248" s="3">
        <f>SUM(Table4[[#This Row],[Sales Amount]]-Table4[[#This Row],[Target]])</f>
        <v>3298.3999999999978</v>
      </c>
    </row>
    <row r="249" spans="1:10" ht="15" hidden="1" thickTop="1" x14ac:dyDescent="0.35">
      <c r="A249" s="2">
        <v>44409</v>
      </c>
      <c r="B249" t="s">
        <v>38</v>
      </c>
      <c r="C249" t="s">
        <v>39</v>
      </c>
      <c r="D249" t="s">
        <v>40</v>
      </c>
      <c r="E249" t="s">
        <v>31</v>
      </c>
      <c r="F249" s="3">
        <v>18838.399999999998</v>
      </c>
      <c r="G249" s="3">
        <v>15000</v>
      </c>
      <c r="H249" s="3">
        <f t="shared" si="3"/>
        <v>1883.84</v>
      </c>
      <c r="I249" t="s">
        <v>41</v>
      </c>
      <c r="J249" s="3">
        <f>SUM(Table4[[#This Row],[Sales Amount]]-Table4[[#This Row],[Target]])</f>
        <v>3838.3999999999978</v>
      </c>
    </row>
    <row r="250" spans="1:10" ht="15" hidden="1" thickTop="1" x14ac:dyDescent="0.35">
      <c r="A250" s="2">
        <v>44409</v>
      </c>
      <c r="B250" t="s">
        <v>69</v>
      </c>
      <c r="C250" t="s">
        <v>70</v>
      </c>
      <c r="D250" t="s">
        <v>71</v>
      </c>
      <c r="E250" t="s">
        <v>31</v>
      </c>
      <c r="F250" s="3">
        <v>24469.599999999999</v>
      </c>
      <c r="G250" s="3">
        <v>15000</v>
      </c>
      <c r="H250" s="3">
        <f t="shared" si="3"/>
        <v>2446.96</v>
      </c>
      <c r="I250" t="s">
        <v>13</v>
      </c>
      <c r="J250" s="3">
        <f>SUM(Table4[[#This Row],[Sales Amount]]-Table4[[#This Row],[Target]])</f>
        <v>9469.5999999999985</v>
      </c>
    </row>
    <row r="251" spans="1:10" ht="15" hidden="1" thickTop="1" x14ac:dyDescent="0.35">
      <c r="A251" s="2">
        <v>44409</v>
      </c>
      <c r="B251" t="s">
        <v>69</v>
      </c>
      <c r="C251" t="s">
        <v>70</v>
      </c>
      <c r="D251" t="s">
        <v>71</v>
      </c>
      <c r="E251" t="s">
        <v>31</v>
      </c>
      <c r="F251" s="3">
        <v>31053.4</v>
      </c>
      <c r="G251" s="3">
        <v>15000</v>
      </c>
      <c r="H251" s="3">
        <f t="shared" si="3"/>
        <v>3105.34</v>
      </c>
      <c r="I251" t="s">
        <v>9</v>
      </c>
      <c r="J251" s="3">
        <f>SUM(Table4[[#This Row],[Sales Amount]]-Table4[[#This Row],[Target]])</f>
        <v>16053.400000000001</v>
      </c>
    </row>
    <row r="252" spans="1:10" ht="15" hidden="1" thickTop="1" x14ac:dyDescent="0.35">
      <c r="A252" s="2">
        <v>44409</v>
      </c>
      <c r="B252" t="s">
        <v>32</v>
      </c>
      <c r="C252" t="s">
        <v>33</v>
      </c>
      <c r="D252" t="s">
        <v>34</v>
      </c>
      <c r="E252" t="s">
        <v>24</v>
      </c>
      <c r="F252" s="3">
        <v>3386.6000000000004</v>
      </c>
      <c r="G252" s="3">
        <v>15000</v>
      </c>
      <c r="H252" s="3" t="str">
        <f t="shared" si="3"/>
        <v>$_</v>
      </c>
      <c r="I252" t="s">
        <v>13</v>
      </c>
      <c r="J252" s="3">
        <f>SUM(Table4[[#This Row],[Sales Amount]]-Table4[[#This Row],[Target]])</f>
        <v>-11613.4</v>
      </c>
    </row>
    <row r="253" spans="1:10" ht="15" hidden="1" thickTop="1" x14ac:dyDescent="0.35">
      <c r="A253" s="2">
        <v>44409</v>
      </c>
      <c r="B253" t="s">
        <v>45</v>
      </c>
      <c r="C253" t="s">
        <v>46</v>
      </c>
      <c r="D253" t="s">
        <v>47</v>
      </c>
      <c r="E253" t="s">
        <v>24</v>
      </c>
      <c r="F253" s="3">
        <v>4028</v>
      </c>
      <c r="G253" s="3">
        <v>15000</v>
      </c>
      <c r="H253" s="3" t="str">
        <f t="shared" si="3"/>
        <v>$_</v>
      </c>
      <c r="I253" t="s">
        <v>9</v>
      </c>
      <c r="J253" s="3">
        <f>SUM(Table4[[#This Row],[Sales Amount]]-Table4[[#This Row],[Target]])</f>
        <v>-10972</v>
      </c>
    </row>
    <row r="254" spans="1:10" ht="15" hidden="1" thickTop="1" x14ac:dyDescent="0.35">
      <c r="A254" s="2">
        <v>44409</v>
      </c>
      <c r="B254" t="s">
        <v>21</v>
      </c>
      <c r="C254" t="s">
        <v>22</v>
      </c>
      <c r="D254" t="s">
        <v>23</v>
      </c>
      <c r="E254" t="s">
        <v>24</v>
      </c>
      <c r="F254" s="3">
        <v>5532.7999999999993</v>
      </c>
      <c r="G254" s="3">
        <v>15000</v>
      </c>
      <c r="H254" s="3" t="str">
        <f t="shared" si="3"/>
        <v>$_</v>
      </c>
      <c r="I254" t="s">
        <v>13</v>
      </c>
      <c r="J254" s="3">
        <f>SUM(Table4[[#This Row],[Sales Amount]]-Table4[[#This Row],[Target]])</f>
        <v>-9467.2000000000007</v>
      </c>
    </row>
    <row r="255" spans="1:10" ht="15" hidden="1" thickTop="1" x14ac:dyDescent="0.35">
      <c r="A255" s="2">
        <v>44409</v>
      </c>
      <c r="B255" t="s">
        <v>32</v>
      </c>
      <c r="C255" t="s">
        <v>33</v>
      </c>
      <c r="D255" t="s">
        <v>34</v>
      </c>
      <c r="E255" t="s">
        <v>24</v>
      </c>
      <c r="F255" s="3">
        <v>10200</v>
      </c>
      <c r="G255" s="3">
        <v>15000</v>
      </c>
      <c r="H255" s="3" t="str">
        <f t="shared" si="3"/>
        <v>$_</v>
      </c>
      <c r="I255" t="s">
        <v>41</v>
      </c>
      <c r="J255" s="3">
        <f>SUM(Table4[[#This Row],[Sales Amount]]-Table4[[#This Row],[Target]])</f>
        <v>-4800</v>
      </c>
    </row>
    <row r="256" spans="1:10" ht="15" hidden="1" thickTop="1" x14ac:dyDescent="0.35">
      <c r="A256" s="2">
        <v>44409</v>
      </c>
      <c r="B256" t="s">
        <v>21</v>
      </c>
      <c r="C256" t="s">
        <v>22</v>
      </c>
      <c r="D256" t="s">
        <v>23</v>
      </c>
      <c r="E256" t="s">
        <v>24</v>
      </c>
      <c r="F256" s="3">
        <v>13923</v>
      </c>
      <c r="G256" s="3">
        <v>15000</v>
      </c>
      <c r="H256" s="3" t="str">
        <f t="shared" si="3"/>
        <v>$_</v>
      </c>
      <c r="I256" t="s">
        <v>41</v>
      </c>
      <c r="J256" s="3">
        <f>SUM(Table4[[#This Row],[Sales Amount]]-Table4[[#This Row],[Target]])</f>
        <v>-1077</v>
      </c>
    </row>
    <row r="257" spans="1:10" ht="15" hidden="1" thickTop="1" x14ac:dyDescent="0.35">
      <c r="A257" s="2">
        <v>44409</v>
      </c>
      <c r="B257" t="s">
        <v>45</v>
      </c>
      <c r="C257" t="s">
        <v>46</v>
      </c>
      <c r="D257" t="s">
        <v>47</v>
      </c>
      <c r="E257" t="s">
        <v>24</v>
      </c>
      <c r="F257" s="3">
        <v>17593.399999999998</v>
      </c>
      <c r="G257" s="3">
        <v>15000</v>
      </c>
      <c r="H257" s="3">
        <f t="shared" si="3"/>
        <v>1759.34</v>
      </c>
      <c r="I257" t="s">
        <v>13</v>
      </c>
      <c r="J257" s="3">
        <f>SUM(Table4[[#This Row],[Sales Amount]]-Table4[[#This Row],[Target]])</f>
        <v>2593.3999999999978</v>
      </c>
    </row>
    <row r="258" spans="1:10" ht="15" hidden="1" thickTop="1" x14ac:dyDescent="0.35">
      <c r="A258" s="2">
        <v>44409</v>
      </c>
      <c r="B258" t="s">
        <v>54</v>
      </c>
      <c r="C258" t="s">
        <v>55</v>
      </c>
      <c r="D258" t="s">
        <v>56</v>
      </c>
      <c r="E258" t="s">
        <v>24</v>
      </c>
      <c r="F258" s="3">
        <v>17666</v>
      </c>
      <c r="G258" s="3">
        <v>15000</v>
      </c>
      <c r="H258" s="3">
        <f t="shared" ref="H258:H321" si="4">IF(F258&gt;=G258, F258*Commission, "$_")</f>
        <v>1766.6000000000001</v>
      </c>
      <c r="I258" t="s">
        <v>9</v>
      </c>
      <c r="J258" s="3">
        <f>SUM(Table4[[#This Row],[Sales Amount]]-Table4[[#This Row],[Target]])</f>
        <v>2666</v>
      </c>
    </row>
    <row r="259" spans="1:10" ht="15" hidden="1" thickTop="1" x14ac:dyDescent="0.35">
      <c r="A259" s="2">
        <v>44409</v>
      </c>
      <c r="B259" t="s">
        <v>32</v>
      </c>
      <c r="C259" t="s">
        <v>33</v>
      </c>
      <c r="D259" t="s">
        <v>34</v>
      </c>
      <c r="E259" t="s">
        <v>24</v>
      </c>
      <c r="F259" s="3">
        <v>21420</v>
      </c>
      <c r="G259" s="3">
        <v>15000</v>
      </c>
      <c r="H259" s="3">
        <f t="shared" si="4"/>
        <v>2142</v>
      </c>
      <c r="I259" t="s">
        <v>41</v>
      </c>
      <c r="J259" s="3">
        <f>SUM(Table4[[#This Row],[Sales Amount]]-Table4[[#This Row],[Target]])</f>
        <v>6420</v>
      </c>
    </row>
    <row r="260" spans="1:10" ht="15" hidden="1" thickTop="1" x14ac:dyDescent="0.35">
      <c r="A260" s="2">
        <v>44409</v>
      </c>
      <c r="B260" t="s">
        <v>21</v>
      </c>
      <c r="C260" t="s">
        <v>22</v>
      </c>
      <c r="D260" t="s">
        <v>23</v>
      </c>
      <c r="E260" t="s">
        <v>24</v>
      </c>
      <c r="F260" s="3">
        <v>24080</v>
      </c>
      <c r="G260" s="3">
        <v>15000</v>
      </c>
      <c r="H260" s="3">
        <f t="shared" si="4"/>
        <v>2408</v>
      </c>
      <c r="I260" t="s">
        <v>9</v>
      </c>
      <c r="J260" s="3">
        <f>SUM(Table4[[#This Row],[Sales Amount]]-Table4[[#This Row],[Target]])</f>
        <v>9080</v>
      </c>
    </row>
    <row r="261" spans="1:10" ht="15" hidden="1" thickTop="1" x14ac:dyDescent="0.35">
      <c r="A261" s="2">
        <v>44409</v>
      </c>
      <c r="B261" t="s">
        <v>45</v>
      </c>
      <c r="C261" t="s">
        <v>46</v>
      </c>
      <c r="D261" t="s">
        <v>47</v>
      </c>
      <c r="E261" t="s">
        <v>24</v>
      </c>
      <c r="F261" s="3">
        <v>27531</v>
      </c>
      <c r="G261" s="3">
        <v>15000</v>
      </c>
      <c r="H261" s="3">
        <f t="shared" si="4"/>
        <v>2753.1000000000004</v>
      </c>
      <c r="I261" t="s">
        <v>41</v>
      </c>
      <c r="J261" s="3">
        <f>SUM(Table4[[#This Row],[Sales Amount]]-Table4[[#This Row],[Target]])</f>
        <v>12531</v>
      </c>
    </row>
    <row r="262" spans="1:10" ht="15" hidden="1" thickTop="1" x14ac:dyDescent="0.35">
      <c r="A262" s="2">
        <v>44409</v>
      </c>
      <c r="B262" t="s">
        <v>54</v>
      </c>
      <c r="C262" t="s">
        <v>55</v>
      </c>
      <c r="D262" t="s">
        <v>56</v>
      </c>
      <c r="E262" t="s">
        <v>24</v>
      </c>
      <c r="F262" s="3">
        <v>32795.700000000004</v>
      </c>
      <c r="G262" s="3">
        <v>15000</v>
      </c>
      <c r="H262" s="3">
        <f t="shared" si="4"/>
        <v>3279.5700000000006</v>
      </c>
      <c r="I262" t="s">
        <v>13</v>
      </c>
      <c r="J262" s="3">
        <f>SUM(Table4[[#This Row],[Sales Amount]]-Table4[[#This Row],[Target]])</f>
        <v>17795.700000000004</v>
      </c>
    </row>
    <row r="263" spans="1:10" ht="15" hidden="1" thickTop="1" x14ac:dyDescent="0.35">
      <c r="A263" s="2">
        <v>44440</v>
      </c>
      <c r="B263" t="s">
        <v>5</v>
      </c>
      <c r="C263" t="s">
        <v>6</v>
      </c>
      <c r="D263" t="s">
        <v>7</v>
      </c>
      <c r="E263" t="s">
        <v>8</v>
      </c>
      <c r="F263" s="3">
        <v>5572.3</v>
      </c>
      <c r="G263" s="3">
        <v>15000</v>
      </c>
      <c r="H263" s="3" t="str">
        <f t="shared" si="4"/>
        <v>$_</v>
      </c>
      <c r="I263" t="s">
        <v>9</v>
      </c>
      <c r="J263" s="3">
        <f>SUM(Table4[[#This Row],[Sales Amount]]-Table4[[#This Row],[Target]])</f>
        <v>-9427.7000000000007</v>
      </c>
    </row>
    <row r="264" spans="1:10" ht="15" hidden="1" thickTop="1" x14ac:dyDescent="0.35">
      <c r="A264" s="2">
        <v>44440</v>
      </c>
      <c r="B264" t="s">
        <v>14</v>
      </c>
      <c r="C264" t="s">
        <v>15</v>
      </c>
      <c r="D264" t="s">
        <v>16</v>
      </c>
      <c r="E264" t="s">
        <v>8</v>
      </c>
      <c r="F264" s="3">
        <v>7496.9999999999991</v>
      </c>
      <c r="G264" s="3">
        <v>15000</v>
      </c>
      <c r="H264" s="3" t="str">
        <f t="shared" si="4"/>
        <v>$_</v>
      </c>
      <c r="I264" t="s">
        <v>13</v>
      </c>
      <c r="J264" s="3">
        <f>SUM(Table4[[#This Row],[Sales Amount]]-Table4[[#This Row],[Target]])</f>
        <v>-7503.0000000000009</v>
      </c>
    </row>
    <row r="265" spans="1:10" ht="15" hidden="1" thickTop="1" x14ac:dyDescent="0.35">
      <c r="A265" s="2">
        <v>44440</v>
      </c>
      <c r="B265" t="s">
        <v>10</v>
      </c>
      <c r="C265" t="s">
        <v>11</v>
      </c>
      <c r="D265" t="s">
        <v>12</v>
      </c>
      <c r="E265" t="s">
        <v>8</v>
      </c>
      <c r="F265" s="3">
        <v>9651.1999999999989</v>
      </c>
      <c r="G265" s="3">
        <v>15000</v>
      </c>
      <c r="H265" s="3" t="str">
        <f t="shared" si="4"/>
        <v>$_</v>
      </c>
      <c r="I265" t="s">
        <v>9</v>
      </c>
      <c r="J265" s="3">
        <f>SUM(Table4[[#This Row],[Sales Amount]]-Table4[[#This Row],[Target]])</f>
        <v>-5348.8000000000011</v>
      </c>
    </row>
    <row r="266" spans="1:10" ht="15" hidden="1" thickTop="1" x14ac:dyDescent="0.35">
      <c r="A266" s="2">
        <v>44440</v>
      </c>
      <c r="B266" t="s">
        <v>5</v>
      </c>
      <c r="C266" t="s">
        <v>6</v>
      </c>
      <c r="D266" t="s">
        <v>7</v>
      </c>
      <c r="E266" t="s">
        <v>8</v>
      </c>
      <c r="F266" s="3">
        <v>10492.199999999997</v>
      </c>
      <c r="G266" s="3">
        <v>15000</v>
      </c>
      <c r="H266" s="3" t="str">
        <f t="shared" si="4"/>
        <v>$_</v>
      </c>
      <c r="I266" t="s">
        <v>41</v>
      </c>
      <c r="J266" s="3">
        <f>SUM(Table4[[#This Row],[Sales Amount]]-Table4[[#This Row],[Target]])</f>
        <v>-4507.8000000000029</v>
      </c>
    </row>
    <row r="267" spans="1:10" ht="15" hidden="1" thickTop="1" x14ac:dyDescent="0.35">
      <c r="A267" s="2">
        <v>44440</v>
      </c>
      <c r="B267" t="s">
        <v>5</v>
      </c>
      <c r="C267" t="s">
        <v>6</v>
      </c>
      <c r="D267" t="s">
        <v>7</v>
      </c>
      <c r="E267" t="s">
        <v>8</v>
      </c>
      <c r="F267" s="3">
        <v>18396.7</v>
      </c>
      <c r="G267" s="3">
        <v>15000</v>
      </c>
      <c r="H267" s="3">
        <f t="shared" si="4"/>
        <v>1839.67</v>
      </c>
      <c r="I267" t="s">
        <v>9</v>
      </c>
      <c r="J267" s="3">
        <f>SUM(Table4[[#This Row],[Sales Amount]]-Table4[[#This Row],[Target]])</f>
        <v>3396.7000000000007</v>
      </c>
    </row>
    <row r="268" spans="1:10" ht="15" hidden="1" thickTop="1" x14ac:dyDescent="0.35">
      <c r="A268" s="2">
        <v>44440</v>
      </c>
      <c r="B268" t="s">
        <v>10</v>
      </c>
      <c r="C268" t="s">
        <v>11</v>
      </c>
      <c r="D268" t="s">
        <v>12</v>
      </c>
      <c r="E268" t="s">
        <v>8</v>
      </c>
      <c r="F268" s="3">
        <v>23849.599999999999</v>
      </c>
      <c r="G268" s="3">
        <v>15000</v>
      </c>
      <c r="H268" s="3">
        <f t="shared" si="4"/>
        <v>2384.96</v>
      </c>
      <c r="I268" t="s">
        <v>9</v>
      </c>
      <c r="J268" s="3">
        <f>SUM(Table4[[#This Row],[Sales Amount]]-Table4[[#This Row],[Target]])</f>
        <v>8849.5999999999985</v>
      </c>
    </row>
    <row r="269" spans="1:10" ht="15" hidden="1" thickTop="1" x14ac:dyDescent="0.35">
      <c r="A269" s="2">
        <v>44440</v>
      </c>
      <c r="B269" t="s">
        <v>66</v>
      </c>
      <c r="C269" t="s">
        <v>67</v>
      </c>
      <c r="D269" t="s">
        <v>68</v>
      </c>
      <c r="E269" t="s">
        <v>8</v>
      </c>
      <c r="F269" s="3">
        <v>23882.399999999998</v>
      </c>
      <c r="G269" s="3">
        <v>15000</v>
      </c>
      <c r="H269" s="3">
        <f t="shared" si="4"/>
        <v>2388.2399999999998</v>
      </c>
      <c r="I269" t="s">
        <v>41</v>
      </c>
      <c r="J269" s="3">
        <f>SUM(Table4[[#This Row],[Sales Amount]]-Table4[[#This Row],[Target]])</f>
        <v>8882.3999999999978</v>
      </c>
    </row>
    <row r="270" spans="1:10" ht="15" hidden="1" thickTop="1" x14ac:dyDescent="0.35">
      <c r="A270" s="2">
        <v>44440</v>
      </c>
      <c r="B270" t="s">
        <v>10</v>
      </c>
      <c r="C270" t="s">
        <v>11</v>
      </c>
      <c r="D270" t="s">
        <v>12</v>
      </c>
      <c r="E270" t="s">
        <v>8</v>
      </c>
      <c r="F270" s="3">
        <v>34041.300000000003</v>
      </c>
      <c r="G270" s="3">
        <v>15000</v>
      </c>
      <c r="H270" s="3">
        <f t="shared" si="4"/>
        <v>3404.1300000000006</v>
      </c>
      <c r="I270" t="s">
        <v>41</v>
      </c>
      <c r="J270" s="3">
        <f>SUM(Table4[[#This Row],[Sales Amount]]-Table4[[#This Row],[Target]])</f>
        <v>19041.300000000003</v>
      </c>
    </row>
    <row r="271" spans="1:10" ht="15" hidden="1" thickTop="1" x14ac:dyDescent="0.35">
      <c r="A271" s="2">
        <v>44440</v>
      </c>
      <c r="B271" t="s">
        <v>35</v>
      </c>
      <c r="C271" t="s">
        <v>36</v>
      </c>
      <c r="D271" t="s">
        <v>37</v>
      </c>
      <c r="E271" t="s">
        <v>20</v>
      </c>
      <c r="F271" s="3">
        <v>7714</v>
      </c>
      <c r="G271" s="3">
        <v>15000</v>
      </c>
      <c r="H271" s="3" t="str">
        <f t="shared" si="4"/>
        <v>$_</v>
      </c>
      <c r="I271" t="s">
        <v>9</v>
      </c>
      <c r="J271" s="3">
        <f>SUM(Table4[[#This Row],[Sales Amount]]-Table4[[#This Row],[Target]])</f>
        <v>-7286</v>
      </c>
    </row>
    <row r="272" spans="1:10" ht="15" hidden="1" thickTop="1" x14ac:dyDescent="0.35">
      <c r="A272" s="2">
        <v>44440</v>
      </c>
      <c r="B272" t="s">
        <v>17</v>
      </c>
      <c r="C272" t="s">
        <v>18</v>
      </c>
      <c r="D272" t="s">
        <v>19</v>
      </c>
      <c r="E272" t="s">
        <v>20</v>
      </c>
      <c r="F272" s="3">
        <v>15152.399999999998</v>
      </c>
      <c r="G272" s="3">
        <v>15000</v>
      </c>
      <c r="H272" s="3">
        <f t="shared" si="4"/>
        <v>1515.2399999999998</v>
      </c>
      <c r="I272" t="s">
        <v>41</v>
      </c>
      <c r="J272" s="3">
        <f>SUM(Table4[[#This Row],[Sales Amount]]-Table4[[#This Row],[Target]])</f>
        <v>152.39999999999782</v>
      </c>
    </row>
    <row r="273" spans="1:10" ht="15" hidden="1" thickTop="1" x14ac:dyDescent="0.35">
      <c r="A273" s="2">
        <v>44440</v>
      </c>
      <c r="B273" t="s">
        <v>42</v>
      </c>
      <c r="C273" t="s">
        <v>43</v>
      </c>
      <c r="D273" t="s">
        <v>44</v>
      </c>
      <c r="E273" t="s">
        <v>20</v>
      </c>
      <c r="F273" s="3">
        <v>16363.900000000001</v>
      </c>
      <c r="G273" s="3">
        <v>15000</v>
      </c>
      <c r="H273" s="3">
        <f t="shared" si="4"/>
        <v>1636.3900000000003</v>
      </c>
      <c r="I273" t="s">
        <v>9</v>
      </c>
      <c r="J273" s="3">
        <f>SUM(Table4[[#This Row],[Sales Amount]]-Table4[[#This Row],[Target]])</f>
        <v>1363.9000000000015</v>
      </c>
    </row>
    <row r="274" spans="1:10" ht="15" hidden="1" thickTop="1" x14ac:dyDescent="0.35">
      <c r="A274" s="2">
        <v>44440</v>
      </c>
      <c r="B274" t="s">
        <v>38</v>
      </c>
      <c r="C274" t="s">
        <v>39</v>
      </c>
      <c r="D274" t="s">
        <v>40</v>
      </c>
      <c r="E274" t="s">
        <v>31</v>
      </c>
      <c r="F274" s="3">
        <v>3710</v>
      </c>
      <c r="G274" s="3">
        <v>15000</v>
      </c>
      <c r="H274" s="3" t="str">
        <f t="shared" si="4"/>
        <v>$_</v>
      </c>
      <c r="I274" t="s">
        <v>41</v>
      </c>
      <c r="J274" s="3">
        <f>SUM(Table4[[#This Row],[Sales Amount]]-Table4[[#This Row],[Target]])</f>
        <v>-11290</v>
      </c>
    </row>
    <row r="275" spans="1:10" ht="15" hidden="1" thickTop="1" x14ac:dyDescent="0.35">
      <c r="A275" s="2">
        <v>44440</v>
      </c>
      <c r="B275" t="s">
        <v>60</v>
      </c>
      <c r="C275" t="s">
        <v>61</v>
      </c>
      <c r="D275" t="s">
        <v>62</v>
      </c>
      <c r="E275" t="s">
        <v>31</v>
      </c>
      <c r="F275" s="3">
        <v>6600</v>
      </c>
      <c r="G275" s="3">
        <v>15000</v>
      </c>
      <c r="H275" s="3" t="str">
        <f t="shared" si="4"/>
        <v>$_</v>
      </c>
      <c r="I275" t="s">
        <v>9</v>
      </c>
      <c r="J275" s="3">
        <f>SUM(Table4[[#This Row],[Sales Amount]]-Table4[[#This Row],[Target]])</f>
        <v>-8400</v>
      </c>
    </row>
    <row r="276" spans="1:10" ht="15" hidden="1" thickTop="1" x14ac:dyDescent="0.35">
      <c r="A276" s="2">
        <v>44440</v>
      </c>
      <c r="B276" t="s">
        <v>69</v>
      </c>
      <c r="C276" t="s">
        <v>70</v>
      </c>
      <c r="D276" t="s">
        <v>71</v>
      </c>
      <c r="E276" t="s">
        <v>31</v>
      </c>
      <c r="F276" s="3">
        <v>8001</v>
      </c>
      <c r="G276" s="3">
        <v>15000</v>
      </c>
      <c r="H276" s="3" t="str">
        <f t="shared" si="4"/>
        <v>$_</v>
      </c>
      <c r="I276" t="s">
        <v>9</v>
      </c>
      <c r="J276" s="3">
        <f>SUM(Table4[[#This Row],[Sales Amount]]-Table4[[#This Row],[Target]])</f>
        <v>-6999</v>
      </c>
    </row>
    <row r="277" spans="1:10" ht="15" hidden="1" thickTop="1" x14ac:dyDescent="0.35">
      <c r="A277" s="2">
        <v>44440</v>
      </c>
      <c r="B277" t="s">
        <v>38</v>
      </c>
      <c r="C277" t="s">
        <v>39</v>
      </c>
      <c r="D277" t="s">
        <v>40</v>
      </c>
      <c r="E277" t="s">
        <v>31</v>
      </c>
      <c r="F277" s="3">
        <v>8772</v>
      </c>
      <c r="G277" s="3">
        <v>15000</v>
      </c>
      <c r="H277" s="3" t="str">
        <f t="shared" si="4"/>
        <v>$_</v>
      </c>
      <c r="I277" t="s">
        <v>13</v>
      </c>
      <c r="J277" s="3">
        <f>SUM(Table4[[#This Row],[Sales Amount]]-Table4[[#This Row],[Target]])</f>
        <v>-6228</v>
      </c>
    </row>
    <row r="278" spans="1:10" ht="15" hidden="1" thickTop="1" x14ac:dyDescent="0.35">
      <c r="A278" s="2">
        <v>44440</v>
      </c>
      <c r="B278" t="s">
        <v>38</v>
      </c>
      <c r="C278" t="s">
        <v>39</v>
      </c>
      <c r="D278" t="s">
        <v>40</v>
      </c>
      <c r="E278" t="s">
        <v>31</v>
      </c>
      <c r="F278" s="3">
        <v>14089.199999999999</v>
      </c>
      <c r="G278" s="3">
        <v>15000</v>
      </c>
      <c r="H278" s="3" t="str">
        <f t="shared" si="4"/>
        <v>$_</v>
      </c>
      <c r="I278" t="s">
        <v>13</v>
      </c>
      <c r="J278" s="3">
        <f>SUM(Table4[[#This Row],[Sales Amount]]-Table4[[#This Row],[Target]])</f>
        <v>-910.80000000000109</v>
      </c>
    </row>
    <row r="279" spans="1:10" ht="15" hidden="1" thickTop="1" x14ac:dyDescent="0.35">
      <c r="A279" s="2">
        <v>44440</v>
      </c>
      <c r="B279" t="s">
        <v>28</v>
      </c>
      <c r="C279" t="s">
        <v>29</v>
      </c>
      <c r="D279" t="s">
        <v>30</v>
      </c>
      <c r="E279" t="s">
        <v>31</v>
      </c>
      <c r="F279" s="3">
        <v>16702.400000000001</v>
      </c>
      <c r="G279" s="3">
        <v>15000</v>
      </c>
      <c r="H279" s="3">
        <f t="shared" si="4"/>
        <v>1670.2400000000002</v>
      </c>
      <c r="I279" t="s">
        <v>13</v>
      </c>
      <c r="J279" s="3">
        <f>SUM(Table4[[#This Row],[Sales Amount]]-Table4[[#This Row],[Target]])</f>
        <v>1702.4000000000015</v>
      </c>
    </row>
    <row r="280" spans="1:10" ht="15" hidden="1" thickTop="1" x14ac:dyDescent="0.35">
      <c r="A280" s="2">
        <v>44440</v>
      </c>
      <c r="B280" t="s">
        <v>28</v>
      </c>
      <c r="C280" t="s">
        <v>29</v>
      </c>
      <c r="D280" t="s">
        <v>30</v>
      </c>
      <c r="E280" t="s">
        <v>31</v>
      </c>
      <c r="F280" s="3">
        <v>21216</v>
      </c>
      <c r="G280" s="3">
        <v>15000</v>
      </c>
      <c r="H280" s="3">
        <f t="shared" si="4"/>
        <v>2121.6</v>
      </c>
      <c r="I280" t="s">
        <v>13</v>
      </c>
      <c r="J280" s="3">
        <f>SUM(Table4[[#This Row],[Sales Amount]]-Table4[[#This Row],[Target]])</f>
        <v>6216</v>
      </c>
    </row>
    <row r="281" spans="1:10" ht="15" hidden="1" thickTop="1" x14ac:dyDescent="0.35">
      <c r="A281" s="2">
        <v>44440</v>
      </c>
      <c r="B281" t="s">
        <v>60</v>
      </c>
      <c r="C281" t="s">
        <v>61</v>
      </c>
      <c r="D281" t="s">
        <v>62</v>
      </c>
      <c r="E281" t="s">
        <v>31</v>
      </c>
      <c r="F281" s="3">
        <v>21546</v>
      </c>
      <c r="G281" s="3">
        <v>15000</v>
      </c>
      <c r="H281" s="3">
        <f t="shared" si="4"/>
        <v>2154.6</v>
      </c>
      <c r="I281" t="s">
        <v>9</v>
      </c>
      <c r="J281" s="3">
        <f>SUM(Table4[[#This Row],[Sales Amount]]-Table4[[#This Row],[Target]])</f>
        <v>6546</v>
      </c>
    </row>
    <row r="282" spans="1:10" ht="15" hidden="1" thickTop="1" x14ac:dyDescent="0.35">
      <c r="A282" s="2">
        <v>44440</v>
      </c>
      <c r="B282" t="s">
        <v>60</v>
      </c>
      <c r="C282" t="s">
        <v>61</v>
      </c>
      <c r="D282" t="s">
        <v>62</v>
      </c>
      <c r="E282" t="s">
        <v>31</v>
      </c>
      <c r="F282" s="3">
        <v>31186.6</v>
      </c>
      <c r="G282" s="3">
        <v>15000</v>
      </c>
      <c r="H282" s="3">
        <f t="shared" si="4"/>
        <v>3118.66</v>
      </c>
      <c r="I282" t="s">
        <v>9</v>
      </c>
      <c r="J282" s="3">
        <f>SUM(Table4[[#This Row],[Sales Amount]]-Table4[[#This Row],[Target]])</f>
        <v>16186.599999999999</v>
      </c>
    </row>
    <row r="283" spans="1:10" ht="15" hidden="1" thickTop="1" x14ac:dyDescent="0.35">
      <c r="A283" s="2">
        <v>44440</v>
      </c>
      <c r="B283" t="s">
        <v>28</v>
      </c>
      <c r="C283" t="s">
        <v>29</v>
      </c>
      <c r="D283" t="s">
        <v>30</v>
      </c>
      <c r="E283" t="s">
        <v>31</v>
      </c>
      <c r="F283" s="3">
        <v>31999.200000000001</v>
      </c>
      <c r="G283" s="3">
        <v>15000</v>
      </c>
      <c r="H283" s="3">
        <f t="shared" si="4"/>
        <v>3199.92</v>
      </c>
      <c r="I283" t="s">
        <v>13</v>
      </c>
      <c r="J283" s="3">
        <f>SUM(Table4[[#This Row],[Sales Amount]]-Table4[[#This Row],[Target]])</f>
        <v>16999.2</v>
      </c>
    </row>
    <row r="284" spans="1:10" ht="15" hidden="1" thickTop="1" x14ac:dyDescent="0.35">
      <c r="A284" s="2">
        <v>44440</v>
      </c>
      <c r="B284" t="s">
        <v>60</v>
      </c>
      <c r="C284" t="s">
        <v>61</v>
      </c>
      <c r="D284" t="s">
        <v>62</v>
      </c>
      <c r="E284" t="s">
        <v>31</v>
      </c>
      <c r="F284" s="3">
        <v>37520</v>
      </c>
      <c r="G284" s="3">
        <v>15000</v>
      </c>
      <c r="H284" s="3">
        <f t="shared" si="4"/>
        <v>3752</v>
      </c>
      <c r="I284" t="s">
        <v>13</v>
      </c>
      <c r="J284" s="3">
        <f>SUM(Table4[[#This Row],[Sales Amount]]-Table4[[#This Row],[Target]])</f>
        <v>22520</v>
      </c>
    </row>
    <row r="285" spans="1:10" ht="15" hidden="1" thickTop="1" x14ac:dyDescent="0.35">
      <c r="A285" s="2">
        <v>44440</v>
      </c>
      <c r="B285" t="s">
        <v>60</v>
      </c>
      <c r="C285" t="s">
        <v>61</v>
      </c>
      <c r="D285" t="s">
        <v>62</v>
      </c>
      <c r="E285" t="s">
        <v>31</v>
      </c>
      <c r="F285" s="3">
        <v>41215.299999999996</v>
      </c>
      <c r="G285" s="3">
        <v>15000</v>
      </c>
      <c r="H285" s="3">
        <f t="shared" si="4"/>
        <v>4121.53</v>
      </c>
      <c r="I285" t="s">
        <v>41</v>
      </c>
      <c r="J285" s="3">
        <f>SUM(Table4[[#This Row],[Sales Amount]]-Table4[[#This Row],[Target]])</f>
        <v>26215.299999999996</v>
      </c>
    </row>
    <row r="286" spans="1:10" ht="15" hidden="1" thickTop="1" x14ac:dyDescent="0.35">
      <c r="A286" s="2">
        <v>44440</v>
      </c>
      <c r="B286" t="s">
        <v>45</v>
      </c>
      <c r="C286" t="s">
        <v>46</v>
      </c>
      <c r="D286" t="s">
        <v>47</v>
      </c>
      <c r="E286" t="s">
        <v>24</v>
      </c>
      <c r="F286" s="3">
        <v>7008</v>
      </c>
      <c r="G286" s="3">
        <v>15000</v>
      </c>
      <c r="H286" s="3" t="str">
        <f t="shared" si="4"/>
        <v>$_</v>
      </c>
      <c r="I286" t="s">
        <v>41</v>
      </c>
      <c r="J286" s="3">
        <f>SUM(Table4[[#This Row],[Sales Amount]]-Table4[[#This Row],[Target]])</f>
        <v>-7992</v>
      </c>
    </row>
    <row r="287" spans="1:10" ht="15" hidden="1" thickTop="1" x14ac:dyDescent="0.35">
      <c r="A287" s="2">
        <v>44440</v>
      </c>
      <c r="B287" t="s">
        <v>21</v>
      </c>
      <c r="C287" t="s">
        <v>22</v>
      </c>
      <c r="D287" t="s">
        <v>23</v>
      </c>
      <c r="E287" t="s">
        <v>24</v>
      </c>
      <c r="F287" s="3">
        <v>8099.6999999999989</v>
      </c>
      <c r="G287" s="3">
        <v>15000</v>
      </c>
      <c r="H287" s="3" t="str">
        <f t="shared" si="4"/>
        <v>$_</v>
      </c>
      <c r="I287" t="s">
        <v>9</v>
      </c>
      <c r="J287" s="3">
        <f>SUM(Table4[[#This Row],[Sales Amount]]-Table4[[#This Row],[Target]])</f>
        <v>-6900.3000000000011</v>
      </c>
    </row>
    <row r="288" spans="1:10" ht="15" hidden="1" thickTop="1" x14ac:dyDescent="0.35">
      <c r="A288" s="2">
        <v>44440</v>
      </c>
      <c r="B288" t="s">
        <v>32</v>
      </c>
      <c r="C288" t="s">
        <v>33</v>
      </c>
      <c r="D288" t="s">
        <v>34</v>
      </c>
      <c r="E288" t="s">
        <v>24</v>
      </c>
      <c r="F288" s="3">
        <v>9840</v>
      </c>
      <c r="G288" s="3">
        <v>15000</v>
      </c>
      <c r="H288" s="3" t="str">
        <f t="shared" si="4"/>
        <v>$_</v>
      </c>
      <c r="I288" t="s">
        <v>13</v>
      </c>
      <c r="J288" s="3">
        <f>SUM(Table4[[#This Row],[Sales Amount]]-Table4[[#This Row],[Target]])</f>
        <v>-5160</v>
      </c>
    </row>
    <row r="289" spans="1:10" ht="15" hidden="1" thickTop="1" x14ac:dyDescent="0.35">
      <c r="A289" s="2">
        <v>44440</v>
      </c>
      <c r="B289" t="s">
        <v>48</v>
      </c>
      <c r="C289" t="s">
        <v>49</v>
      </c>
      <c r="D289" t="s">
        <v>50</v>
      </c>
      <c r="E289" t="s">
        <v>24</v>
      </c>
      <c r="F289" s="3">
        <v>10218</v>
      </c>
      <c r="G289" s="3">
        <v>15000</v>
      </c>
      <c r="H289" s="3" t="str">
        <f t="shared" si="4"/>
        <v>$_</v>
      </c>
      <c r="I289" t="s">
        <v>13</v>
      </c>
      <c r="J289" s="3">
        <f>SUM(Table4[[#This Row],[Sales Amount]]-Table4[[#This Row],[Target]])</f>
        <v>-4782</v>
      </c>
    </row>
    <row r="290" spans="1:10" ht="15" hidden="1" thickTop="1" x14ac:dyDescent="0.35">
      <c r="A290" s="2">
        <v>44440</v>
      </c>
      <c r="B290" t="s">
        <v>32</v>
      </c>
      <c r="C290" t="s">
        <v>33</v>
      </c>
      <c r="D290" t="s">
        <v>34</v>
      </c>
      <c r="E290" t="s">
        <v>24</v>
      </c>
      <c r="F290" s="3">
        <v>14311.2</v>
      </c>
      <c r="G290" s="3">
        <v>15000</v>
      </c>
      <c r="H290" s="3" t="str">
        <f t="shared" si="4"/>
        <v>$_</v>
      </c>
      <c r="I290" t="s">
        <v>9</v>
      </c>
      <c r="J290" s="3">
        <f>SUM(Table4[[#This Row],[Sales Amount]]-Table4[[#This Row],[Target]])</f>
        <v>-688.79999999999927</v>
      </c>
    </row>
    <row r="291" spans="1:10" ht="15" hidden="1" thickTop="1" x14ac:dyDescent="0.35">
      <c r="A291" s="2">
        <v>44440</v>
      </c>
      <c r="B291" t="s">
        <v>32</v>
      </c>
      <c r="C291" t="s">
        <v>33</v>
      </c>
      <c r="D291" t="s">
        <v>34</v>
      </c>
      <c r="E291" t="s">
        <v>24</v>
      </c>
      <c r="F291" s="3">
        <v>14715.2</v>
      </c>
      <c r="G291" s="3">
        <v>15000</v>
      </c>
      <c r="H291" s="3" t="str">
        <f t="shared" si="4"/>
        <v>$_</v>
      </c>
      <c r="I291" t="s">
        <v>13</v>
      </c>
      <c r="J291" s="3">
        <f>SUM(Table4[[#This Row],[Sales Amount]]-Table4[[#This Row],[Target]])</f>
        <v>-284.79999999999927</v>
      </c>
    </row>
    <row r="292" spans="1:10" ht="15" hidden="1" thickTop="1" x14ac:dyDescent="0.35">
      <c r="A292" s="2">
        <v>44440</v>
      </c>
      <c r="B292" t="s">
        <v>54</v>
      </c>
      <c r="C292" t="s">
        <v>55</v>
      </c>
      <c r="D292" t="s">
        <v>56</v>
      </c>
      <c r="E292" t="s">
        <v>24</v>
      </c>
      <c r="F292" s="3">
        <v>19147.8</v>
      </c>
      <c r="G292" s="3">
        <v>15000</v>
      </c>
      <c r="H292" s="3">
        <f t="shared" si="4"/>
        <v>1914.78</v>
      </c>
      <c r="I292" t="s">
        <v>13</v>
      </c>
      <c r="J292" s="3">
        <f>SUM(Table4[[#This Row],[Sales Amount]]-Table4[[#This Row],[Target]])</f>
        <v>4147.7999999999993</v>
      </c>
    </row>
    <row r="293" spans="1:10" ht="15" hidden="1" thickTop="1" x14ac:dyDescent="0.35">
      <c r="A293" s="2">
        <v>44440</v>
      </c>
      <c r="B293" t="s">
        <v>32</v>
      </c>
      <c r="C293" t="s">
        <v>33</v>
      </c>
      <c r="D293" t="s">
        <v>34</v>
      </c>
      <c r="E293" t="s">
        <v>24</v>
      </c>
      <c r="F293" s="3">
        <v>20760.300000000003</v>
      </c>
      <c r="G293" s="3">
        <v>15000</v>
      </c>
      <c r="H293" s="3">
        <f t="shared" si="4"/>
        <v>2076.0300000000002</v>
      </c>
      <c r="I293" t="s">
        <v>13</v>
      </c>
      <c r="J293" s="3">
        <f>SUM(Table4[[#This Row],[Sales Amount]]-Table4[[#This Row],[Target]])</f>
        <v>5760.3000000000029</v>
      </c>
    </row>
    <row r="294" spans="1:10" ht="15" hidden="1" thickTop="1" x14ac:dyDescent="0.35">
      <c r="A294" s="2">
        <v>44440</v>
      </c>
      <c r="B294" t="s">
        <v>54</v>
      </c>
      <c r="C294" t="s">
        <v>55</v>
      </c>
      <c r="D294" t="s">
        <v>56</v>
      </c>
      <c r="E294" t="s">
        <v>24</v>
      </c>
      <c r="F294" s="3">
        <v>24579.8</v>
      </c>
      <c r="G294" s="3">
        <v>15000</v>
      </c>
      <c r="H294" s="3">
        <f t="shared" si="4"/>
        <v>2457.98</v>
      </c>
      <c r="I294" t="s">
        <v>9</v>
      </c>
      <c r="J294" s="3">
        <f>SUM(Table4[[#This Row],[Sales Amount]]-Table4[[#This Row],[Target]])</f>
        <v>9579.7999999999993</v>
      </c>
    </row>
    <row r="295" spans="1:10" ht="15" hidden="1" thickTop="1" x14ac:dyDescent="0.35">
      <c r="A295" s="2">
        <v>44440</v>
      </c>
      <c r="B295" t="s">
        <v>54</v>
      </c>
      <c r="C295" t="s">
        <v>55</v>
      </c>
      <c r="D295" t="s">
        <v>56</v>
      </c>
      <c r="E295" t="s">
        <v>24</v>
      </c>
      <c r="F295" s="3">
        <v>25946.300000000003</v>
      </c>
      <c r="G295" s="3">
        <v>15000</v>
      </c>
      <c r="H295" s="3">
        <f t="shared" si="4"/>
        <v>2594.6300000000006</v>
      </c>
      <c r="I295" t="s">
        <v>41</v>
      </c>
      <c r="J295" s="3">
        <f>SUM(Table4[[#This Row],[Sales Amount]]-Table4[[#This Row],[Target]])</f>
        <v>10946.300000000003</v>
      </c>
    </row>
    <row r="296" spans="1:10" ht="15" hidden="1" thickTop="1" x14ac:dyDescent="0.35">
      <c r="A296" s="2">
        <v>44440</v>
      </c>
      <c r="B296" t="s">
        <v>21</v>
      </c>
      <c r="C296" t="s">
        <v>22</v>
      </c>
      <c r="D296" t="s">
        <v>23</v>
      </c>
      <c r="E296" t="s">
        <v>24</v>
      </c>
      <c r="F296" s="3">
        <v>30367.999999999996</v>
      </c>
      <c r="G296" s="3">
        <v>15000</v>
      </c>
      <c r="H296" s="3">
        <f t="shared" si="4"/>
        <v>3036.7999999999997</v>
      </c>
      <c r="I296" t="s">
        <v>13</v>
      </c>
      <c r="J296" s="3">
        <f>SUM(Table4[[#This Row],[Sales Amount]]-Table4[[#This Row],[Target]])</f>
        <v>15367.999999999996</v>
      </c>
    </row>
    <row r="297" spans="1:10" ht="15" hidden="1" thickTop="1" x14ac:dyDescent="0.35">
      <c r="A297" s="2">
        <v>44440</v>
      </c>
      <c r="B297" t="s">
        <v>45</v>
      </c>
      <c r="C297" t="s">
        <v>46</v>
      </c>
      <c r="D297" t="s">
        <v>47</v>
      </c>
      <c r="E297" t="s">
        <v>24</v>
      </c>
      <c r="F297" s="3">
        <v>35640</v>
      </c>
      <c r="G297" s="3">
        <v>15000</v>
      </c>
      <c r="H297" s="3">
        <f t="shared" si="4"/>
        <v>3564</v>
      </c>
      <c r="I297" t="s">
        <v>9</v>
      </c>
      <c r="J297" s="3">
        <f>SUM(Table4[[#This Row],[Sales Amount]]-Table4[[#This Row],[Target]])</f>
        <v>20640</v>
      </c>
    </row>
    <row r="298" spans="1:10" ht="15" hidden="1" thickTop="1" x14ac:dyDescent="0.35">
      <c r="A298" s="2">
        <v>44470</v>
      </c>
      <c r="B298" t="s">
        <v>25</v>
      </c>
      <c r="C298" t="s">
        <v>26</v>
      </c>
      <c r="D298" t="s">
        <v>27</v>
      </c>
      <c r="E298" t="s">
        <v>8</v>
      </c>
      <c r="F298" s="3">
        <v>3243.6000000000004</v>
      </c>
      <c r="G298" s="3">
        <v>15000</v>
      </c>
      <c r="H298" s="3" t="str">
        <f t="shared" si="4"/>
        <v>$_</v>
      </c>
      <c r="I298" t="s">
        <v>9</v>
      </c>
      <c r="J298" s="3">
        <f>SUM(Table4[[#This Row],[Sales Amount]]-Table4[[#This Row],[Target]])</f>
        <v>-11756.4</v>
      </c>
    </row>
    <row r="299" spans="1:10" ht="15" hidden="1" thickTop="1" x14ac:dyDescent="0.35">
      <c r="A299" s="2">
        <v>44470</v>
      </c>
      <c r="B299" t="s">
        <v>14</v>
      </c>
      <c r="C299" t="s">
        <v>15</v>
      </c>
      <c r="D299" t="s">
        <v>16</v>
      </c>
      <c r="E299" t="s">
        <v>8</v>
      </c>
      <c r="F299" s="3">
        <v>12633.599999999999</v>
      </c>
      <c r="G299" s="3">
        <v>15000</v>
      </c>
      <c r="H299" s="3" t="str">
        <f t="shared" si="4"/>
        <v>$_</v>
      </c>
      <c r="I299" t="s">
        <v>13</v>
      </c>
      <c r="J299" s="3">
        <f>SUM(Table4[[#This Row],[Sales Amount]]-Table4[[#This Row],[Target]])</f>
        <v>-2366.4000000000015</v>
      </c>
    </row>
    <row r="300" spans="1:10" ht="15" hidden="1" thickTop="1" x14ac:dyDescent="0.35">
      <c r="A300" s="2">
        <v>44470</v>
      </c>
      <c r="B300" t="s">
        <v>25</v>
      </c>
      <c r="C300" t="s">
        <v>26</v>
      </c>
      <c r="D300" t="s">
        <v>27</v>
      </c>
      <c r="E300" t="s">
        <v>8</v>
      </c>
      <c r="F300" s="3">
        <v>12806.399999999998</v>
      </c>
      <c r="G300" s="3">
        <v>15000</v>
      </c>
      <c r="H300" s="3" t="str">
        <f t="shared" si="4"/>
        <v>$_</v>
      </c>
      <c r="I300" t="s">
        <v>41</v>
      </c>
      <c r="J300" s="3">
        <f>SUM(Table4[[#This Row],[Sales Amount]]-Table4[[#This Row],[Target]])</f>
        <v>-2193.6000000000022</v>
      </c>
    </row>
    <row r="301" spans="1:10" ht="15" hidden="1" thickTop="1" x14ac:dyDescent="0.35">
      <c r="A301" s="2">
        <v>44470</v>
      </c>
      <c r="B301" t="s">
        <v>10</v>
      </c>
      <c r="C301" t="s">
        <v>11</v>
      </c>
      <c r="D301" t="s">
        <v>12</v>
      </c>
      <c r="E301" t="s">
        <v>8</v>
      </c>
      <c r="F301" s="3">
        <v>20031.199999999997</v>
      </c>
      <c r="G301" s="3">
        <v>15000</v>
      </c>
      <c r="H301" s="3">
        <f t="shared" si="4"/>
        <v>2003.12</v>
      </c>
      <c r="I301" t="s">
        <v>41</v>
      </c>
      <c r="J301" s="3">
        <f>SUM(Table4[[#This Row],[Sales Amount]]-Table4[[#This Row],[Target]])</f>
        <v>5031.1999999999971</v>
      </c>
    </row>
    <row r="302" spans="1:10" ht="15" hidden="1" thickTop="1" x14ac:dyDescent="0.35">
      <c r="A302" s="2">
        <v>44470</v>
      </c>
      <c r="B302" t="s">
        <v>5</v>
      </c>
      <c r="C302" t="s">
        <v>6</v>
      </c>
      <c r="D302" t="s">
        <v>7</v>
      </c>
      <c r="E302" t="s">
        <v>8</v>
      </c>
      <c r="F302" s="3">
        <v>21485.200000000001</v>
      </c>
      <c r="G302" s="3">
        <v>15000</v>
      </c>
      <c r="H302" s="3">
        <f t="shared" si="4"/>
        <v>2148.52</v>
      </c>
      <c r="I302" t="s">
        <v>13</v>
      </c>
      <c r="J302" s="3">
        <f>SUM(Table4[[#This Row],[Sales Amount]]-Table4[[#This Row],[Target]])</f>
        <v>6485.2000000000007</v>
      </c>
    </row>
    <row r="303" spans="1:10" ht="15" hidden="1" thickTop="1" x14ac:dyDescent="0.35">
      <c r="A303" s="2">
        <v>44470</v>
      </c>
      <c r="B303" t="s">
        <v>66</v>
      </c>
      <c r="C303" t="s">
        <v>67</v>
      </c>
      <c r="D303" t="s">
        <v>68</v>
      </c>
      <c r="E303" t="s">
        <v>8</v>
      </c>
      <c r="F303" s="3">
        <v>22607.200000000004</v>
      </c>
      <c r="G303" s="3">
        <v>15000</v>
      </c>
      <c r="H303" s="3">
        <f t="shared" si="4"/>
        <v>2260.7200000000007</v>
      </c>
      <c r="I303" t="s">
        <v>9</v>
      </c>
      <c r="J303" s="3">
        <f>SUM(Table4[[#This Row],[Sales Amount]]-Table4[[#This Row],[Target]])</f>
        <v>7607.2000000000044</v>
      </c>
    </row>
    <row r="304" spans="1:10" ht="15" hidden="1" thickTop="1" x14ac:dyDescent="0.35">
      <c r="A304" s="2">
        <v>44470</v>
      </c>
      <c r="B304" t="s">
        <v>17</v>
      </c>
      <c r="C304" t="s">
        <v>18</v>
      </c>
      <c r="D304" t="s">
        <v>19</v>
      </c>
      <c r="E304" t="s">
        <v>20</v>
      </c>
      <c r="F304" s="3">
        <v>2997.2</v>
      </c>
      <c r="G304" s="3">
        <v>15000</v>
      </c>
      <c r="H304" s="3" t="str">
        <f t="shared" si="4"/>
        <v>$_</v>
      </c>
      <c r="I304" t="s">
        <v>9</v>
      </c>
      <c r="J304" s="3">
        <f>SUM(Table4[[#This Row],[Sales Amount]]-Table4[[#This Row],[Target]])</f>
        <v>-12002.8</v>
      </c>
    </row>
    <row r="305" spans="1:10" ht="15" hidden="1" thickTop="1" x14ac:dyDescent="0.35">
      <c r="A305" s="2">
        <v>44470</v>
      </c>
      <c r="B305" t="s">
        <v>35</v>
      </c>
      <c r="C305" t="s">
        <v>36</v>
      </c>
      <c r="D305" t="s">
        <v>37</v>
      </c>
      <c r="E305" t="s">
        <v>20</v>
      </c>
      <c r="F305" s="3">
        <v>7195.9999999999991</v>
      </c>
      <c r="G305" s="3">
        <v>15000</v>
      </c>
      <c r="H305" s="3" t="str">
        <f t="shared" si="4"/>
        <v>$_</v>
      </c>
      <c r="I305" t="s">
        <v>13</v>
      </c>
      <c r="J305" s="3">
        <f>SUM(Table4[[#This Row],[Sales Amount]]-Table4[[#This Row],[Target]])</f>
        <v>-7804.0000000000009</v>
      </c>
    </row>
    <row r="306" spans="1:10" ht="15" hidden="1" thickTop="1" x14ac:dyDescent="0.35">
      <c r="A306" s="2">
        <v>44470</v>
      </c>
      <c r="B306" t="s">
        <v>51</v>
      </c>
      <c r="C306" t="s">
        <v>52</v>
      </c>
      <c r="D306" t="s">
        <v>53</v>
      </c>
      <c r="E306" t="s">
        <v>20</v>
      </c>
      <c r="F306" s="3">
        <v>10595.2</v>
      </c>
      <c r="G306" s="3">
        <v>15000</v>
      </c>
      <c r="H306" s="3" t="str">
        <f t="shared" si="4"/>
        <v>$_</v>
      </c>
      <c r="I306" t="s">
        <v>41</v>
      </c>
      <c r="J306" s="3">
        <f>SUM(Table4[[#This Row],[Sales Amount]]-Table4[[#This Row],[Target]])</f>
        <v>-4404.7999999999993</v>
      </c>
    </row>
    <row r="307" spans="1:10" ht="15" hidden="1" thickTop="1" x14ac:dyDescent="0.35">
      <c r="A307" s="2">
        <v>44470</v>
      </c>
      <c r="B307" t="s">
        <v>35</v>
      </c>
      <c r="C307" t="s">
        <v>36</v>
      </c>
      <c r="D307" t="s">
        <v>37</v>
      </c>
      <c r="E307" t="s">
        <v>20</v>
      </c>
      <c r="F307" s="3">
        <v>10694.7</v>
      </c>
      <c r="G307" s="3">
        <v>15000</v>
      </c>
      <c r="H307" s="3" t="str">
        <f t="shared" si="4"/>
        <v>$_</v>
      </c>
      <c r="I307" t="s">
        <v>41</v>
      </c>
      <c r="J307" s="3">
        <f>SUM(Table4[[#This Row],[Sales Amount]]-Table4[[#This Row],[Target]])</f>
        <v>-4305.2999999999993</v>
      </c>
    </row>
    <row r="308" spans="1:10" ht="15" hidden="1" thickTop="1" x14ac:dyDescent="0.35">
      <c r="A308" s="2">
        <v>44470</v>
      </c>
      <c r="B308" t="s">
        <v>51</v>
      </c>
      <c r="C308" t="s">
        <v>52</v>
      </c>
      <c r="D308" t="s">
        <v>53</v>
      </c>
      <c r="E308" t="s">
        <v>20</v>
      </c>
      <c r="F308" s="3">
        <v>14235.4</v>
      </c>
      <c r="G308" s="3">
        <v>15000</v>
      </c>
      <c r="H308" s="3" t="str">
        <f t="shared" si="4"/>
        <v>$_</v>
      </c>
      <c r="I308" t="s">
        <v>41</v>
      </c>
      <c r="J308" s="3">
        <f>SUM(Table4[[#This Row],[Sales Amount]]-Table4[[#This Row],[Target]])</f>
        <v>-764.60000000000036</v>
      </c>
    </row>
    <row r="309" spans="1:10" ht="15" hidden="1" thickTop="1" x14ac:dyDescent="0.35">
      <c r="A309" s="2">
        <v>44470</v>
      </c>
      <c r="B309" t="s">
        <v>51</v>
      </c>
      <c r="C309" t="s">
        <v>52</v>
      </c>
      <c r="D309" t="s">
        <v>53</v>
      </c>
      <c r="E309" t="s">
        <v>20</v>
      </c>
      <c r="F309" s="3">
        <v>36530.199999999997</v>
      </c>
      <c r="G309" s="3">
        <v>15000</v>
      </c>
      <c r="H309" s="3">
        <f t="shared" si="4"/>
        <v>3653.02</v>
      </c>
      <c r="I309" t="s">
        <v>13</v>
      </c>
      <c r="J309" s="3">
        <f>SUM(Table4[[#This Row],[Sales Amount]]-Table4[[#This Row],[Target]])</f>
        <v>21530.199999999997</v>
      </c>
    </row>
    <row r="310" spans="1:10" ht="15" hidden="1" thickTop="1" x14ac:dyDescent="0.35">
      <c r="A310" s="2">
        <v>44470</v>
      </c>
      <c r="B310" t="s">
        <v>63</v>
      </c>
      <c r="C310" t="s">
        <v>64</v>
      </c>
      <c r="D310" t="s">
        <v>65</v>
      </c>
      <c r="E310" t="s">
        <v>20</v>
      </c>
      <c r="F310" s="3">
        <v>36896.199999999997</v>
      </c>
      <c r="G310" s="3">
        <v>15000</v>
      </c>
      <c r="H310" s="3">
        <f t="shared" si="4"/>
        <v>3689.62</v>
      </c>
      <c r="I310" t="s">
        <v>41</v>
      </c>
      <c r="J310" s="3">
        <f>SUM(Table4[[#This Row],[Sales Amount]]-Table4[[#This Row],[Target]])</f>
        <v>21896.199999999997</v>
      </c>
    </row>
    <row r="311" spans="1:10" ht="15" hidden="1" thickTop="1" x14ac:dyDescent="0.35">
      <c r="A311" s="2">
        <v>44470</v>
      </c>
      <c r="B311" t="s">
        <v>17</v>
      </c>
      <c r="C311" t="s">
        <v>18</v>
      </c>
      <c r="D311" t="s">
        <v>19</v>
      </c>
      <c r="E311" t="s">
        <v>20</v>
      </c>
      <c r="F311" s="3">
        <v>41420.699999999997</v>
      </c>
      <c r="G311" s="3">
        <v>15000</v>
      </c>
      <c r="H311" s="3">
        <f t="shared" si="4"/>
        <v>4142.07</v>
      </c>
      <c r="I311" t="s">
        <v>9</v>
      </c>
      <c r="J311" s="3">
        <f>SUM(Table4[[#This Row],[Sales Amount]]-Table4[[#This Row],[Target]])</f>
        <v>26420.699999999997</v>
      </c>
    </row>
    <row r="312" spans="1:10" ht="15" hidden="1" thickTop="1" x14ac:dyDescent="0.35">
      <c r="A312" s="2">
        <v>44470</v>
      </c>
      <c r="B312" t="s">
        <v>28</v>
      </c>
      <c r="C312" t="s">
        <v>29</v>
      </c>
      <c r="D312" t="s">
        <v>30</v>
      </c>
      <c r="E312" t="s">
        <v>31</v>
      </c>
      <c r="F312" s="3">
        <v>3035.1</v>
      </c>
      <c r="G312" s="3">
        <v>15000</v>
      </c>
      <c r="H312" s="3" t="str">
        <f t="shared" si="4"/>
        <v>$_</v>
      </c>
      <c r="I312" t="s">
        <v>13</v>
      </c>
      <c r="J312" s="3">
        <f>SUM(Table4[[#This Row],[Sales Amount]]-Table4[[#This Row],[Target]])</f>
        <v>-11964.9</v>
      </c>
    </row>
    <row r="313" spans="1:10" ht="15" hidden="1" thickTop="1" x14ac:dyDescent="0.35">
      <c r="A313" s="2">
        <v>44470</v>
      </c>
      <c r="B313" t="s">
        <v>60</v>
      </c>
      <c r="C313" t="s">
        <v>61</v>
      </c>
      <c r="D313" t="s">
        <v>62</v>
      </c>
      <c r="E313" t="s">
        <v>31</v>
      </c>
      <c r="F313" s="3">
        <v>6688</v>
      </c>
      <c r="G313" s="3">
        <v>15000</v>
      </c>
      <c r="H313" s="3" t="str">
        <f t="shared" si="4"/>
        <v>$_</v>
      </c>
      <c r="I313" t="s">
        <v>13</v>
      </c>
      <c r="J313" s="3">
        <f>SUM(Table4[[#This Row],[Sales Amount]]-Table4[[#This Row],[Target]])</f>
        <v>-8312</v>
      </c>
    </row>
    <row r="314" spans="1:10" ht="15" hidden="1" thickTop="1" x14ac:dyDescent="0.35">
      <c r="A314" s="2">
        <v>44470</v>
      </c>
      <c r="B314" t="s">
        <v>28</v>
      </c>
      <c r="C314" t="s">
        <v>29</v>
      </c>
      <c r="D314" t="s">
        <v>30</v>
      </c>
      <c r="E314" t="s">
        <v>31</v>
      </c>
      <c r="F314" s="3">
        <v>7024.2</v>
      </c>
      <c r="G314" s="3">
        <v>15000</v>
      </c>
      <c r="H314" s="3" t="str">
        <f t="shared" si="4"/>
        <v>$_</v>
      </c>
      <c r="I314" t="s">
        <v>41</v>
      </c>
      <c r="J314" s="3">
        <f>SUM(Table4[[#This Row],[Sales Amount]]-Table4[[#This Row],[Target]])</f>
        <v>-7975.8</v>
      </c>
    </row>
    <row r="315" spans="1:10" ht="15" hidden="1" thickTop="1" x14ac:dyDescent="0.35">
      <c r="A315" s="2">
        <v>44470</v>
      </c>
      <c r="B315" t="s">
        <v>60</v>
      </c>
      <c r="C315" t="s">
        <v>61</v>
      </c>
      <c r="D315" t="s">
        <v>62</v>
      </c>
      <c r="E315" t="s">
        <v>31</v>
      </c>
      <c r="F315" s="3">
        <v>7139.0000000000009</v>
      </c>
      <c r="G315" s="3">
        <v>15000</v>
      </c>
      <c r="H315" s="3" t="str">
        <f t="shared" si="4"/>
        <v>$_</v>
      </c>
      <c r="I315" t="s">
        <v>9</v>
      </c>
      <c r="J315" s="3">
        <f>SUM(Table4[[#This Row],[Sales Amount]]-Table4[[#This Row],[Target]])</f>
        <v>-7860.9999999999991</v>
      </c>
    </row>
    <row r="316" spans="1:10" ht="15" hidden="1" thickTop="1" x14ac:dyDescent="0.35">
      <c r="A316" s="2">
        <v>44470</v>
      </c>
      <c r="B316" t="s">
        <v>38</v>
      </c>
      <c r="C316" t="s">
        <v>39</v>
      </c>
      <c r="D316" t="s">
        <v>40</v>
      </c>
      <c r="E316" t="s">
        <v>31</v>
      </c>
      <c r="F316" s="3">
        <v>10948</v>
      </c>
      <c r="G316" s="3">
        <v>15000</v>
      </c>
      <c r="H316" s="3" t="str">
        <f t="shared" si="4"/>
        <v>$_</v>
      </c>
      <c r="I316" t="s">
        <v>13</v>
      </c>
      <c r="J316" s="3">
        <f>SUM(Table4[[#This Row],[Sales Amount]]-Table4[[#This Row],[Target]])</f>
        <v>-4052</v>
      </c>
    </row>
    <row r="317" spans="1:10" ht="15" hidden="1" thickTop="1" x14ac:dyDescent="0.35">
      <c r="A317" s="2">
        <v>44470</v>
      </c>
      <c r="B317" t="s">
        <v>38</v>
      </c>
      <c r="C317" t="s">
        <v>39</v>
      </c>
      <c r="D317" t="s">
        <v>40</v>
      </c>
      <c r="E317" t="s">
        <v>31</v>
      </c>
      <c r="F317" s="3">
        <v>10988.800000000001</v>
      </c>
      <c r="G317" s="3">
        <v>15000</v>
      </c>
      <c r="H317" s="3" t="str">
        <f t="shared" si="4"/>
        <v>$_</v>
      </c>
      <c r="I317" t="s">
        <v>9</v>
      </c>
      <c r="J317" s="3">
        <f>SUM(Table4[[#This Row],[Sales Amount]]-Table4[[#This Row],[Target]])</f>
        <v>-4011.1999999999989</v>
      </c>
    </row>
    <row r="318" spans="1:10" ht="15" hidden="1" thickTop="1" x14ac:dyDescent="0.35">
      <c r="A318" s="2">
        <v>44470</v>
      </c>
      <c r="B318" t="s">
        <v>38</v>
      </c>
      <c r="C318" t="s">
        <v>39</v>
      </c>
      <c r="D318" t="s">
        <v>40</v>
      </c>
      <c r="E318" t="s">
        <v>31</v>
      </c>
      <c r="F318" s="3">
        <v>12306.6</v>
      </c>
      <c r="G318" s="3">
        <v>15000</v>
      </c>
      <c r="H318" s="3" t="str">
        <f t="shared" si="4"/>
        <v>$_</v>
      </c>
      <c r="I318" t="s">
        <v>13</v>
      </c>
      <c r="J318" s="3">
        <f>SUM(Table4[[#This Row],[Sales Amount]]-Table4[[#This Row],[Target]])</f>
        <v>-2693.3999999999996</v>
      </c>
    </row>
    <row r="319" spans="1:10" ht="15" hidden="1" thickTop="1" x14ac:dyDescent="0.35">
      <c r="A319" s="2">
        <v>44470</v>
      </c>
      <c r="B319" t="s">
        <v>38</v>
      </c>
      <c r="C319" t="s">
        <v>39</v>
      </c>
      <c r="D319" t="s">
        <v>40</v>
      </c>
      <c r="E319" t="s">
        <v>31</v>
      </c>
      <c r="F319" s="3">
        <v>16077</v>
      </c>
      <c r="G319" s="3">
        <v>15000</v>
      </c>
      <c r="H319" s="3">
        <f t="shared" si="4"/>
        <v>1607.7</v>
      </c>
      <c r="I319" t="s">
        <v>13</v>
      </c>
      <c r="J319" s="3">
        <f>SUM(Table4[[#This Row],[Sales Amount]]-Table4[[#This Row],[Target]])</f>
        <v>1077</v>
      </c>
    </row>
    <row r="320" spans="1:10" ht="15" hidden="1" thickTop="1" x14ac:dyDescent="0.35">
      <c r="A320" s="2">
        <v>44470</v>
      </c>
      <c r="B320" t="s">
        <v>57</v>
      </c>
      <c r="C320" t="s">
        <v>58</v>
      </c>
      <c r="D320" t="s">
        <v>59</v>
      </c>
      <c r="E320" t="s">
        <v>31</v>
      </c>
      <c r="F320" s="3">
        <v>19594</v>
      </c>
      <c r="G320" s="3">
        <v>15000</v>
      </c>
      <c r="H320" s="3">
        <f t="shared" si="4"/>
        <v>1959.4</v>
      </c>
      <c r="I320" t="s">
        <v>13</v>
      </c>
      <c r="J320" s="3">
        <f>SUM(Table4[[#This Row],[Sales Amount]]-Table4[[#This Row],[Target]])</f>
        <v>4594</v>
      </c>
    </row>
    <row r="321" spans="1:10" ht="15" hidden="1" thickTop="1" x14ac:dyDescent="0.35">
      <c r="A321" s="2">
        <v>44470</v>
      </c>
      <c r="B321" t="s">
        <v>28</v>
      </c>
      <c r="C321" t="s">
        <v>29</v>
      </c>
      <c r="D321" t="s">
        <v>30</v>
      </c>
      <c r="E321" t="s">
        <v>31</v>
      </c>
      <c r="F321" s="3">
        <v>19946.199999999997</v>
      </c>
      <c r="G321" s="3">
        <v>15000</v>
      </c>
      <c r="H321" s="3">
        <f t="shared" si="4"/>
        <v>1994.62</v>
      </c>
      <c r="I321" t="s">
        <v>41</v>
      </c>
      <c r="J321" s="3">
        <f>SUM(Table4[[#This Row],[Sales Amount]]-Table4[[#This Row],[Target]])</f>
        <v>4946.1999999999971</v>
      </c>
    </row>
    <row r="322" spans="1:10" ht="15" hidden="1" thickTop="1" x14ac:dyDescent="0.35">
      <c r="A322" s="2">
        <v>44470</v>
      </c>
      <c r="B322" t="s">
        <v>69</v>
      </c>
      <c r="C322" t="s">
        <v>70</v>
      </c>
      <c r="D322" t="s">
        <v>71</v>
      </c>
      <c r="E322" t="s">
        <v>31</v>
      </c>
      <c r="F322" s="3">
        <v>26773.4</v>
      </c>
      <c r="G322" s="3">
        <v>15000</v>
      </c>
      <c r="H322" s="3">
        <f t="shared" ref="H322:H385" si="5">IF(F322&gt;=G322, F322*Commission, "$_")</f>
        <v>2677.34</v>
      </c>
      <c r="I322" t="s">
        <v>41</v>
      </c>
      <c r="J322" s="3">
        <f>SUM(Table4[[#This Row],[Sales Amount]]-Table4[[#This Row],[Target]])</f>
        <v>11773.400000000001</v>
      </c>
    </row>
    <row r="323" spans="1:10" ht="15" hidden="1" thickTop="1" x14ac:dyDescent="0.35">
      <c r="A323" s="2">
        <v>44470</v>
      </c>
      <c r="B323" t="s">
        <v>38</v>
      </c>
      <c r="C323" t="s">
        <v>39</v>
      </c>
      <c r="D323" t="s">
        <v>40</v>
      </c>
      <c r="E323" t="s">
        <v>31</v>
      </c>
      <c r="F323" s="3">
        <v>28464.9</v>
      </c>
      <c r="G323" s="3">
        <v>15000</v>
      </c>
      <c r="H323" s="3">
        <f t="shared" si="5"/>
        <v>2846.4900000000002</v>
      </c>
      <c r="I323" t="s">
        <v>41</v>
      </c>
      <c r="J323" s="3">
        <f>SUM(Table4[[#This Row],[Sales Amount]]-Table4[[#This Row],[Target]])</f>
        <v>13464.900000000001</v>
      </c>
    </row>
    <row r="324" spans="1:10" ht="15" hidden="1" thickTop="1" x14ac:dyDescent="0.35">
      <c r="A324" s="2">
        <v>44470</v>
      </c>
      <c r="B324" t="s">
        <v>60</v>
      </c>
      <c r="C324" t="s">
        <v>61</v>
      </c>
      <c r="D324" t="s">
        <v>62</v>
      </c>
      <c r="E324" t="s">
        <v>31</v>
      </c>
      <c r="F324" s="3">
        <v>37544.800000000003</v>
      </c>
      <c r="G324" s="3">
        <v>15000</v>
      </c>
      <c r="H324" s="3">
        <f t="shared" si="5"/>
        <v>3754.4800000000005</v>
      </c>
      <c r="I324" t="s">
        <v>9</v>
      </c>
      <c r="J324" s="3">
        <f>SUM(Table4[[#This Row],[Sales Amount]]-Table4[[#This Row],[Target]])</f>
        <v>22544.800000000003</v>
      </c>
    </row>
    <row r="325" spans="1:10" ht="15" hidden="1" thickTop="1" x14ac:dyDescent="0.35">
      <c r="A325" s="2">
        <v>44470</v>
      </c>
      <c r="B325" t="s">
        <v>38</v>
      </c>
      <c r="C325" t="s">
        <v>39</v>
      </c>
      <c r="D325" t="s">
        <v>40</v>
      </c>
      <c r="E325" t="s">
        <v>31</v>
      </c>
      <c r="F325" s="3">
        <v>40224.800000000003</v>
      </c>
      <c r="G325" s="3">
        <v>15000</v>
      </c>
      <c r="H325" s="3">
        <f t="shared" si="5"/>
        <v>4022.4800000000005</v>
      </c>
      <c r="I325" t="s">
        <v>9</v>
      </c>
      <c r="J325" s="3">
        <f>SUM(Table4[[#This Row],[Sales Amount]]-Table4[[#This Row],[Target]])</f>
        <v>25224.800000000003</v>
      </c>
    </row>
    <row r="326" spans="1:10" ht="15" hidden="1" thickTop="1" x14ac:dyDescent="0.35">
      <c r="A326" s="2">
        <v>44470</v>
      </c>
      <c r="B326" t="s">
        <v>57</v>
      </c>
      <c r="C326" t="s">
        <v>58</v>
      </c>
      <c r="D326" t="s">
        <v>59</v>
      </c>
      <c r="E326" t="s">
        <v>31</v>
      </c>
      <c r="F326" s="3">
        <v>43591.8</v>
      </c>
      <c r="G326" s="3">
        <v>15000</v>
      </c>
      <c r="H326" s="3">
        <f t="shared" si="5"/>
        <v>4359.18</v>
      </c>
      <c r="I326" t="s">
        <v>9</v>
      </c>
      <c r="J326" s="3">
        <f>SUM(Table4[[#This Row],[Sales Amount]]-Table4[[#This Row],[Target]])</f>
        <v>28591.800000000003</v>
      </c>
    </row>
    <row r="327" spans="1:10" ht="15" hidden="1" thickTop="1" x14ac:dyDescent="0.35">
      <c r="A327" s="2">
        <v>44470</v>
      </c>
      <c r="B327" t="s">
        <v>48</v>
      </c>
      <c r="C327" t="s">
        <v>49</v>
      </c>
      <c r="D327" t="s">
        <v>50</v>
      </c>
      <c r="E327" t="s">
        <v>24</v>
      </c>
      <c r="F327" s="3">
        <v>4201.6000000000004</v>
      </c>
      <c r="G327" s="3">
        <v>15000</v>
      </c>
      <c r="H327" s="3" t="str">
        <f t="shared" si="5"/>
        <v>$_</v>
      </c>
      <c r="I327" t="s">
        <v>13</v>
      </c>
      <c r="J327" s="3">
        <f>SUM(Table4[[#This Row],[Sales Amount]]-Table4[[#This Row],[Target]])</f>
        <v>-10798.4</v>
      </c>
    </row>
    <row r="328" spans="1:10" ht="15" hidden="1" thickTop="1" x14ac:dyDescent="0.35">
      <c r="A328" s="2">
        <v>44470</v>
      </c>
      <c r="B328" t="s">
        <v>21</v>
      </c>
      <c r="C328" t="s">
        <v>22</v>
      </c>
      <c r="D328" t="s">
        <v>23</v>
      </c>
      <c r="E328" t="s">
        <v>24</v>
      </c>
      <c r="F328" s="3">
        <v>15262.8</v>
      </c>
      <c r="G328" s="3">
        <v>15000</v>
      </c>
      <c r="H328" s="3">
        <f t="shared" si="5"/>
        <v>1526.28</v>
      </c>
      <c r="I328" t="s">
        <v>41</v>
      </c>
      <c r="J328" s="3">
        <f>SUM(Table4[[#This Row],[Sales Amount]]-Table4[[#This Row],[Target]])</f>
        <v>262.79999999999927</v>
      </c>
    </row>
    <row r="329" spans="1:10" ht="15" hidden="1" thickTop="1" x14ac:dyDescent="0.35">
      <c r="A329" s="2">
        <v>44470</v>
      </c>
      <c r="B329" t="s">
        <v>54</v>
      </c>
      <c r="C329" t="s">
        <v>55</v>
      </c>
      <c r="D329" t="s">
        <v>56</v>
      </c>
      <c r="E329" t="s">
        <v>24</v>
      </c>
      <c r="F329" s="3">
        <v>20790</v>
      </c>
      <c r="G329" s="3">
        <v>15000</v>
      </c>
      <c r="H329" s="3">
        <f t="shared" si="5"/>
        <v>2079</v>
      </c>
      <c r="I329" t="s">
        <v>13</v>
      </c>
      <c r="J329" s="3">
        <f>SUM(Table4[[#This Row],[Sales Amount]]-Table4[[#This Row],[Target]])</f>
        <v>5790</v>
      </c>
    </row>
    <row r="330" spans="1:10" ht="15" hidden="1" thickTop="1" x14ac:dyDescent="0.35">
      <c r="A330" s="2">
        <v>44470</v>
      </c>
      <c r="B330" t="s">
        <v>48</v>
      </c>
      <c r="C330" t="s">
        <v>49</v>
      </c>
      <c r="D330" t="s">
        <v>50</v>
      </c>
      <c r="E330" t="s">
        <v>24</v>
      </c>
      <c r="F330" s="3">
        <v>21878.5</v>
      </c>
      <c r="G330" s="3">
        <v>15000</v>
      </c>
      <c r="H330" s="3">
        <f t="shared" si="5"/>
        <v>2187.85</v>
      </c>
      <c r="I330" t="s">
        <v>9</v>
      </c>
      <c r="J330" s="3">
        <f>SUM(Table4[[#This Row],[Sales Amount]]-Table4[[#This Row],[Target]])</f>
        <v>6878.5</v>
      </c>
    </row>
    <row r="331" spans="1:10" ht="15" hidden="1" thickTop="1" x14ac:dyDescent="0.35">
      <c r="A331" s="2">
        <v>44470</v>
      </c>
      <c r="B331" t="s">
        <v>54</v>
      </c>
      <c r="C331" t="s">
        <v>55</v>
      </c>
      <c r="D331" t="s">
        <v>56</v>
      </c>
      <c r="E331" t="s">
        <v>24</v>
      </c>
      <c r="F331" s="3">
        <v>22136.800000000003</v>
      </c>
      <c r="G331" s="3">
        <v>15000</v>
      </c>
      <c r="H331" s="3">
        <f t="shared" si="5"/>
        <v>2213.6800000000003</v>
      </c>
      <c r="I331" t="s">
        <v>9</v>
      </c>
      <c r="J331" s="3">
        <f>SUM(Table4[[#This Row],[Sales Amount]]-Table4[[#This Row],[Target]])</f>
        <v>7136.8000000000029</v>
      </c>
    </row>
    <row r="332" spans="1:10" ht="15" hidden="1" thickTop="1" x14ac:dyDescent="0.35">
      <c r="A332" s="2">
        <v>44470</v>
      </c>
      <c r="B332" t="s">
        <v>54</v>
      </c>
      <c r="C332" t="s">
        <v>55</v>
      </c>
      <c r="D332" t="s">
        <v>56</v>
      </c>
      <c r="E332" t="s">
        <v>24</v>
      </c>
      <c r="F332" s="3">
        <v>23240.400000000001</v>
      </c>
      <c r="G332" s="3">
        <v>15000</v>
      </c>
      <c r="H332" s="3">
        <f t="shared" si="5"/>
        <v>2324.0400000000004</v>
      </c>
      <c r="I332" t="s">
        <v>13</v>
      </c>
      <c r="J332" s="3">
        <f>SUM(Table4[[#This Row],[Sales Amount]]-Table4[[#This Row],[Target]])</f>
        <v>8240.4000000000015</v>
      </c>
    </row>
    <row r="333" spans="1:10" ht="15" hidden="1" thickTop="1" x14ac:dyDescent="0.35">
      <c r="A333" s="2">
        <v>44470</v>
      </c>
      <c r="B333" t="s">
        <v>48</v>
      </c>
      <c r="C333" t="s">
        <v>49</v>
      </c>
      <c r="D333" t="s">
        <v>50</v>
      </c>
      <c r="E333" t="s">
        <v>24</v>
      </c>
      <c r="F333" s="3">
        <v>41989.599999999999</v>
      </c>
      <c r="G333" s="3">
        <v>15000</v>
      </c>
      <c r="H333" s="3">
        <f t="shared" si="5"/>
        <v>4198.96</v>
      </c>
      <c r="I333" t="s">
        <v>9</v>
      </c>
      <c r="J333" s="3">
        <f>SUM(Table4[[#This Row],[Sales Amount]]-Table4[[#This Row],[Target]])</f>
        <v>26989.599999999999</v>
      </c>
    </row>
    <row r="334" spans="1:10" ht="15" hidden="1" thickTop="1" x14ac:dyDescent="0.35">
      <c r="A334" s="2">
        <v>44501</v>
      </c>
      <c r="B334" t="s">
        <v>10</v>
      </c>
      <c r="C334" t="s">
        <v>11</v>
      </c>
      <c r="D334" t="s">
        <v>12</v>
      </c>
      <c r="E334" t="s">
        <v>8</v>
      </c>
      <c r="F334" s="3">
        <v>5130</v>
      </c>
      <c r="G334" s="3">
        <v>15000</v>
      </c>
      <c r="H334" s="3" t="str">
        <f t="shared" si="5"/>
        <v>$_</v>
      </c>
      <c r="I334" t="s">
        <v>13</v>
      </c>
      <c r="J334" s="3">
        <f>SUM(Table4[[#This Row],[Sales Amount]]-Table4[[#This Row],[Target]])</f>
        <v>-9870</v>
      </c>
    </row>
    <row r="335" spans="1:10" ht="15" hidden="1" thickTop="1" x14ac:dyDescent="0.35">
      <c r="A335" s="2">
        <v>44501</v>
      </c>
      <c r="B335" t="s">
        <v>5</v>
      </c>
      <c r="C335" t="s">
        <v>6</v>
      </c>
      <c r="D335" t="s">
        <v>7</v>
      </c>
      <c r="E335" t="s">
        <v>8</v>
      </c>
      <c r="F335" s="3">
        <v>8810.9</v>
      </c>
      <c r="G335" s="3">
        <v>15000</v>
      </c>
      <c r="H335" s="3" t="str">
        <f t="shared" si="5"/>
        <v>$_</v>
      </c>
      <c r="I335" t="s">
        <v>9</v>
      </c>
      <c r="J335" s="3">
        <f>SUM(Table4[[#This Row],[Sales Amount]]-Table4[[#This Row],[Target]])</f>
        <v>-6189.1</v>
      </c>
    </row>
    <row r="336" spans="1:10" ht="15" hidden="1" thickTop="1" x14ac:dyDescent="0.35">
      <c r="A336" s="2">
        <v>44501</v>
      </c>
      <c r="B336" t="s">
        <v>25</v>
      </c>
      <c r="C336" t="s">
        <v>26</v>
      </c>
      <c r="D336" t="s">
        <v>27</v>
      </c>
      <c r="E336" t="s">
        <v>8</v>
      </c>
      <c r="F336" s="3">
        <v>16606</v>
      </c>
      <c r="G336" s="3">
        <v>15000</v>
      </c>
      <c r="H336" s="3">
        <f t="shared" si="5"/>
        <v>1660.6000000000001</v>
      </c>
      <c r="I336" t="s">
        <v>9</v>
      </c>
      <c r="J336" s="3">
        <f>SUM(Table4[[#This Row],[Sales Amount]]-Table4[[#This Row],[Target]])</f>
        <v>1606</v>
      </c>
    </row>
    <row r="337" spans="1:10" ht="15" hidden="1" thickTop="1" x14ac:dyDescent="0.35">
      <c r="A337" s="2">
        <v>44501</v>
      </c>
      <c r="B337" t="s">
        <v>10</v>
      </c>
      <c r="C337" t="s">
        <v>11</v>
      </c>
      <c r="D337" t="s">
        <v>12</v>
      </c>
      <c r="E337" t="s">
        <v>8</v>
      </c>
      <c r="F337" s="3">
        <v>17766</v>
      </c>
      <c r="G337" s="3">
        <v>15000</v>
      </c>
      <c r="H337" s="3">
        <f t="shared" si="5"/>
        <v>1776.6000000000001</v>
      </c>
      <c r="I337" t="s">
        <v>9</v>
      </c>
      <c r="J337" s="3">
        <f>SUM(Table4[[#This Row],[Sales Amount]]-Table4[[#This Row],[Target]])</f>
        <v>2766</v>
      </c>
    </row>
    <row r="338" spans="1:10" ht="15" hidden="1" thickTop="1" x14ac:dyDescent="0.35">
      <c r="A338" s="2">
        <v>44501</v>
      </c>
      <c r="B338" t="s">
        <v>14</v>
      </c>
      <c r="C338" t="s">
        <v>15</v>
      </c>
      <c r="D338" t="s">
        <v>16</v>
      </c>
      <c r="E338" t="s">
        <v>8</v>
      </c>
      <c r="F338" s="3">
        <v>20916</v>
      </c>
      <c r="G338" s="3">
        <v>15000</v>
      </c>
      <c r="H338" s="3">
        <f t="shared" si="5"/>
        <v>2091.6</v>
      </c>
      <c r="I338" t="s">
        <v>9</v>
      </c>
      <c r="J338" s="3">
        <f>SUM(Table4[[#This Row],[Sales Amount]]-Table4[[#This Row],[Target]])</f>
        <v>5916</v>
      </c>
    </row>
    <row r="339" spans="1:10" ht="15" hidden="1" thickTop="1" x14ac:dyDescent="0.35">
      <c r="A339" s="2">
        <v>44501</v>
      </c>
      <c r="B339" t="s">
        <v>14</v>
      </c>
      <c r="C339" t="s">
        <v>15</v>
      </c>
      <c r="D339" t="s">
        <v>16</v>
      </c>
      <c r="E339" t="s">
        <v>8</v>
      </c>
      <c r="F339" s="3">
        <v>22396.5</v>
      </c>
      <c r="G339" s="3">
        <v>15000</v>
      </c>
      <c r="H339" s="3">
        <f t="shared" si="5"/>
        <v>2239.65</v>
      </c>
      <c r="I339" t="s">
        <v>41</v>
      </c>
      <c r="J339" s="3">
        <f>SUM(Table4[[#This Row],[Sales Amount]]-Table4[[#This Row],[Target]])</f>
        <v>7396.5</v>
      </c>
    </row>
    <row r="340" spans="1:10" ht="15" hidden="1" thickTop="1" x14ac:dyDescent="0.35">
      <c r="A340" s="2">
        <v>44501</v>
      </c>
      <c r="B340" t="s">
        <v>10</v>
      </c>
      <c r="C340" t="s">
        <v>11</v>
      </c>
      <c r="D340" t="s">
        <v>12</v>
      </c>
      <c r="E340" t="s">
        <v>8</v>
      </c>
      <c r="F340" s="3">
        <v>25633.5</v>
      </c>
      <c r="G340" s="3">
        <v>15000</v>
      </c>
      <c r="H340" s="3">
        <f t="shared" si="5"/>
        <v>2563.3500000000004</v>
      </c>
      <c r="I340" t="s">
        <v>13</v>
      </c>
      <c r="J340" s="3">
        <f>SUM(Table4[[#This Row],[Sales Amount]]-Table4[[#This Row],[Target]])</f>
        <v>10633.5</v>
      </c>
    </row>
    <row r="341" spans="1:10" ht="15" hidden="1" thickTop="1" x14ac:dyDescent="0.35">
      <c r="A341" s="2">
        <v>44501</v>
      </c>
      <c r="B341" t="s">
        <v>14</v>
      </c>
      <c r="C341" t="s">
        <v>15</v>
      </c>
      <c r="D341" t="s">
        <v>16</v>
      </c>
      <c r="E341" t="s">
        <v>8</v>
      </c>
      <c r="F341" s="3">
        <v>37374.399999999994</v>
      </c>
      <c r="G341" s="3">
        <v>15000</v>
      </c>
      <c r="H341" s="3">
        <f t="shared" si="5"/>
        <v>3737.4399999999996</v>
      </c>
      <c r="I341" t="s">
        <v>41</v>
      </c>
      <c r="J341" s="3">
        <f>SUM(Table4[[#This Row],[Sales Amount]]-Table4[[#This Row],[Target]])</f>
        <v>22374.399999999994</v>
      </c>
    </row>
    <row r="342" spans="1:10" ht="15" hidden="1" thickTop="1" x14ac:dyDescent="0.35">
      <c r="A342" s="2">
        <v>44501</v>
      </c>
      <c r="B342" t="s">
        <v>51</v>
      </c>
      <c r="C342" t="s">
        <v>52</v>
      </c>
      <c r="D342" t="s">
        <v>53</v>
      </c>
      <c r="E342" t="s">
        <v>20</v>
      </c>
      <c r="F342" s="3">
        <v>6900</v>
      </c>
      <c r="G342" s="3">
        <v>15000</v>
      </c>
      <c r="H342" s="3" t="str">
        <f t="shared" si="5"/>
        <v>$_</v>
      </c>
      <c r="I342" t="s">
        <v>13</v>
      </c>
      <c r="J342" s="3">
        <f>SUM(Table4[[#This Row],[Sales Amount]]-Table4[[#This Row],[Target]])</f>
        <v>-8100</v>
      </c>
    </row>
    <row r="343" spans="1:10" ht="15" hidden="1" thickTop="1" x14ac:dyDescent="0.35">
      <c r="A343" s="2">
        <v>44501</v>
      </c>
      <c r="B343" t="s">
        <v>63</v>
      </c>
      <c r="C343" t="s">
        <v>64</v>
      </c>
      <c r="D343" t="s">
        <v>65</v>
      </c>
      <c r="E343" t="s">
        <v>20</v>
      </c>
      <c r="F343" s="3">
        <v>9683</v>
      </c>
      <c r="G343" s="3">
        <v>15000</v>
      </c>
      <c r="H343" s="3" t="str">
        <f t="shared" si="5"/>
        <v>$_</v>
      </c>
      <c r="I343" t="s">
        <v>41</v>
      </c>
      <c r="J343" s="3">
        <f>SUM(Table4[[#This Row],[Sales Amount]]-Table4[[#This Row],[Target]])</f>
        <v>-5317</v>
      </c>
    </row>
    <row r="344" spans="1:10" ht="15" hidden="1" thickTop="1" x14ac:dyDescent="0.35">
      <c r="A344" s="2">
        <v>44501</v>
      </c>
      <c r="B344" t="s">
        <v>42</v>
      </c>
      <c r="C344" t="s">
        <v>43</v>
      </c>
      <c r="D344" t="s">
        <v>44</v>
      </c>
      <c r="E344" t="s">
        <v>20</v>
      </c>
      <c r="F344" s="3">
        <v>14302.9</v>
      </c>
      <c r="G344" s="3">
        <v>15000</v>
      </c>
      <c r="H344" s="3" t="str">
        <f t="shared" si="5"/>
        <v>$_</v>
      </c>
      <c r="I344" t="s">
        <v>9</v>
      </c>
      <c r="J344" s="3">
        <f>SUM(Table4[[#This Row],[Sales Amount]]-Table4[[#This Row],[Target]])</f>
        <v>-697.10000000000036</v>
      </c>
    </row>
    <row r="345" spans="1:10" ht="15" hidden="1" thickTop="1" x14ac:dyDescent="0.35">
      <c r="A345" s="2">
        <v>44501</v>
      </c>
      <c r="B345" t="s">
        <v>17</v>
      </c>
      <c r="C345" t="s">
        <v>18</v>
      </c>
      <c r="D345" t="s">
        <v>19</v>
      </c>
      <c r="E345" t="s">
        <v>20</v>
      </c>
      <c r="F345" s="3">
        <v>16806.400000000001</v>
      </c>
      <c r="G345" s="3">
        <v>15000</v>
      </c>
      <c r="H345" s="3">
        <f t="shared" si="5"/>
        <v>1680.6400000000003</v>
      </c>
      <c r="I345" t="s">
        <v>9</v>
      </c>
      <c r="J345" s="3">
        <f>SUM(Table4[[#This Row],[Sales Amount]]-Table4[[#This Row],[Target]])</f>
        <v>1806.4000000000015</v>
      </c>
    </row>
    <row r="346" spans="1:10" ht="15" hidden="1" thickTop="1" x14ac:dyDescent="0.35">
      <c r="A346" s="2">
        <v>44501</v>
      </c>
      <c r="B346" t="s">
        <v>35</v>
      </c>
      <c r="C346" t="s">
        <v>36</v>
      </c>
      <c r="D346" t="s">
        <v>37</v>
      </c>
      <c r="E346" t="s">
        <v>20</v>
      </c>
      <c r="F346" s="3">
        <v>20797.200000000004</v>
      </c>
      <c r="G346" s="3">
        <v>15000</v>
      </c>
      <c r="H346" s="3">
        <f t="shared" si="5"/>
        <v>2079.7200000000007</v>
      </c>
      <c r="I346" t="s">
        <v>13</v>
      </c>
      <c r="J346" s="3">
        <f>SUM(Table4[[#This Row],[Sales Amount]]-Table4[[#This Row],[Target]])</f>
        <v>5797.2000000000044</v>
      </c>
    </row>
    <row r="347" spans="1:10" ht="15" hidden="1" thickTop="1" x14ac:dyDescent="0.35">
      <c r="A347" s="2">
        <v>44501</v>
      </c>
      <c r="B347" t="s">
        <v>63</v>
      </c>
      <c r="C347" t="s">
        <v>64</v>
      </c>
      <c r="D347" t="s">
        <v>65</v>
      </c>
      <c r="E347" t="s">
        <v>20</v>
      </c>
      <c r="F347" s="3">
        <v>26866</v>
      </c>
      <c r="G347" s="3">
        <v>15000</v>
      </c>
      <c r="H347" s="3">
        <f t="shared" si="5"/>
        <v>2686.6000000000004</v>
      </c>
      <c r="I347" t="s">
        <v>41</v>
      </c>
      <c r="J347" s="3">
        <f>SUM(Table4[[#This Row],[Sales Amount]]-Table4[[#This Row],[Target]])</f>
        <v>11866</v>
      </c>
    </row>
    <row r="348" spans="1:10" ht="15" hidden="1" thickTop="1" x14ac:dyDescent="0.35">
      <c r="A348" s="2">
        <v>44501</v>
      </c>
      <c r="B348" t="s">
        <v>69</v>
      </c>
      <c r="C348" t="s">
        <v>70</v>
      </c>
      <c r="D348" t="s">
        <v>71</v>
      </c>
      <c r="E348" t="s">
        <v>31</v>
      </c>
      <c r="F348" s="3">
        <v>9292.5</v>
      </c>
      <c r="G348" s="3">
        <v>15000</v>
      </c>
      <c r="H348" s="3" t="str">
        <f t="shared" si="5"/>
        <v>$_</v>
      </c>
      <c r="I348" t="s">
        <v>13</v>
      </c>
      <c r="J348" s="3">
        <f>SUM(Table4[[#This Row],[Sales Amount]]-Table4[[#This Row],[Target]])</f>
        <v>-5707.5</v>
      </c>
    </row>
    <row r="349" spans="1:10" ht="15" hidden="1" thickTop="1" x14ac:dyDescent="0.35">
      <c r="A349" s="2">
        <v>44501</v>
      </c>
      <c r="B349" t="s">
        <v>57</v>
      </c>
      <c r="C349" t="s">
        <v>58</v>
      </c>
      <c r="D349" t="s">
        <v>59</v>
      </c>
      <c r="E349" t="s">
        <v>31</v>
      </c>
      <c r="F349" s="3">
        <v>28761.599999999999</v>
      </c>
      <c r="G349" s="3">
        <v>15000</v>
      </c>
      <c r="H349" s="3">
        <f t="shared" si="5"/>
        <v>2876.16</v>
      </c>
      <c r="I349" t="s">
        <v>41</v>
      </c>
      <c r="J349" s="3">
        <f>SUM(Table4[[#This Row],[Sales Amount]]-Table4[[#This Row],[Target]])</f>
        <v>13761.599999999999</v>
      </c>
    </row>
    <row r="350" spans="1:10" ht="15" hidden="1" thickTop="1" x14ac:dyDescent="0.35">
      <c r="A350" s="2">
        <v>44501</v>
      </c>
      <c r="B350" t="s">
        <v>38</v>
      </c>
      <c r="C350" t="s">
        <v>39</v>
      </c>
      <c r="D350" t="s">
        <v>40</v>
      </c>
      <c r="E350" t="s">
        <v>31</v>
      </c>
      <c r="F350" s="3">
        <v>41932.799999999996</v>
      </c>
      <c r="G350" s="3">
        <v>15000</v>
      </c>
      <c r="H350" s="3">
        <f t="shared" si="5"/>
        <v>4193.28</v>
      </c>
      <c r="I350" t="s">
        <v>9</v>
      </c>
      <c r="J350" s="3">
        <f>SUM(Table4[[#This Row],[Sales Amount]]-Table4[[#This Row],[Target]])</f>
        <v>26932.799999999996</v>
      </c>
    </row>
    <row r="351" spans="1:10" ht="15" hidden="1" thickTop="1" x14ac:dyDescent="0.35">
      <c r="A351" s="2">
        <v>44501</v>
      </c>
      <c r="B351" t="s">
        <v>28</v>
      </c>
      <c r="C351" t="s">
        <v>29</v>
      </c>
      <c r="D351" t="s">
        <v>30</v>
      </c>
      <c r="E351" t="s">
        <v>31</v>
      </c>
      <c r="F351" s="3">
        <v>42427</v>
      </c>
      <c r="G351" s="3">
        <v>15000</v>
      </c>
      <c r="H351" s="3">
        <f t="shared" si="5"/>
        <v>4242.7</v>
      </c>
      <c r="I351" t="s">
        <v>13</v>
      </c>
      <c r="J351" s="3">
        <f>SUM(Table4[[#This Row],[Sales Amount]]-Table4[[#This Row],[Target]])</f>
        <v>27427</v>
      </c>
    </row>
    <row r="352" spans="1:10" ht="15" hidden="1" thickTop="1" x14ac:dyDescent="0.35">
      <c r="A352" s="2">
        <v>44501</v>
      </c>
      <c r="B352" t="s">
        <v>69</v>
      </c>
      <c r="C352" t="s">
        <v>70</v>
      </c>
      <c r="D352" t="s">
        <v>71</v>
      </c>
      <c r="E352" t="s">
        <v>31</v>
      </c>
      <c r="F352" s="3">
        <v>47510.400000000001</v>
      </c>
      <c r="G352" s="3">
        <v>15000</v>
      </c>
      <c r="H352" s="3">
        <f t="shared" si="5"/>
        <v>4751.04</v>
      </c>
      <c r="I352" t="s">
        <v>13</v>
      </c>
      <c r="J352" s="3">
        <f>SUM(Table4[[#This Row],[Sales Amount]]-Table4[[#This Row],[Target]])</f>
        <v>32510.400000000001</v>
      </c>
    </row>
    <row r="353" spans="1:10" ht="15" hidden="1" thickTop="1" x14ac:dyDescent="0.35">
      <c r="A353" s="2">
        <v>44501</v>
      </c>
      <c r="B353" t="s">
        <v>32</v>
      </c>
      <c r="C353" t="s">
        <v>33</v>
      </c>
      <c r="D353" t="s">
        <v>34</v>
      </c>
      <c r="E353" t="s">
        <v>24</v>
      </c>
      <c r="F353" s="3">
        <v>9006</v>
      </c>
      <c r="G353" s="3">
        <v>15000</v>
      </c>
      <c r="H353" s="3" t="str">
        <f t="shared" si="5"/>
        <v>$_</v>
      </c>
      <c r="I353" t="s">
        <v>41</v>
      </c>
      <c r="J353" s="3">
        <f>SUM(Table4[[#This Row],[Sales Amount]]-Table4[[#This Row],[Target]])</f>
        <v>-5994</v>
      </c>
    </row>
    <row r="354" spans="1:10" ht="15" hidden="1" thickTop="1" x14ac:dyDescent="0.35">
      <c r="A354" s="2">
        <v>44501</v>
      </c>
      <c r="B354" t="s">
        <v>48</v>
      </c>
      <c r="C354" t="s">
        <v>49</v>
      </c>
      <c r="D354" t="s">
        <v>50</v>
      </c>
      <c r="E354" t="s">
        <v>24</v>
      </c>
      <c r="F354" s="3">
        <v>10573.5</v>
      </c>
      <c r="G354" s="3">
        <v>15000</v>
      </c>
      <c r="H354" s="3" t="str">
        <f t="shared" si="5"/>
        <v>$_</v>
      </c>
      <c r="I354" t="s">
        <v>9</v>
      </c>
      <c r="J354" s="3">
        <f>SUM(Table4[[#This Row],[Sales Amount]]-Table4[[#This Row],[Target]])</f>
        <v>-4426.5</v>
      </c>
    </row>
    <row r="355" spans="1:10" ht="15" hidden="1" thickTop="1" x14ac:dyDescent="0.35">
      <c r="A355" s="2">
        <v>44501</v>
      </c>
      <c r="B355" t="s">
        <v>45</v>
      </c>
      <c r="C355" t="s">
        <v>46</v>
      </c>
      <c r="D355" t="s">
        <v>47</v>
      </c>
      <c r="E355" t="s">
        <v>24</v>
      </c>
      <c r="F355" s="3">
        <v>13230</v>
      </c>
      <c r="G355" s="3">
        <v>15000</v>
      </c>
      <c r="H355" s="3" t="str">
        <f t="shared" si="5"/>
        <v>$_</v>
      </c>
      <c r="I355" t="s">
        <v>13</v>
      </c>
      <c r="J355" s="3">
        <f>SUM(Table4[[#This Row],[Sales Amount]]-Table4[[#This Row],[Target]])</f>
        <v>-1770</v>
      </c>
    </row>
    <row r="356" spans="1:10" ht="15" hidden="1" thickTop="1" x14ac:dyDescent="0.35">
      <c r="A356" s="2">
        <v>44501</v>
      </c>
      <c r="B356" t="s">
        <v>21</v>
      </c>
      <c r="C356" t="s">
        <v>22</v>
      </c>
      <c r="D356" t="s">
        <v>23</v>
      </c>
      <c r="E356" t="s">
        <v>24</v>
      </c>
      <c r="F356" s="3">
        <v>15403.600000000002</v>
      </c>
      <c r="G356" s="3">
        <v>15000</v>
      </c>
      <c r="H356" s="3">
        <f t="shared" si="5"/>
        <v>1540.3600000000004</v>
      </c>
      <c r="I356" t="s">
        <v>13</v>
      </c>
      <c r="J356" s="3">
        <f>SUM(Table4[[#This Row],[Sales Amount]]-Table4[[#This Row],[Target]])</f>
        <v>403.60000000000218</v>
      </c>
    </row>
    <row r="357" spans="1:10" ht="15" hidden="1" thickTop="1" x14ac:dyDescent="0.35">
      <c r="A357" s="2">
        <v>44501</v>
      </c>
      <c r="B357" t="s">
        <v>32</v>
      </c>
      <c r="C357" t="s">
        <v>33</v>
      </c>
      <c r="D357" t="s">
        <v>34</v>
      </c>
      <c r="E357" t="s">
        <v>24</v>
      </c>
      <c r="F357" s="3">
        <v>16394.399999999998</v>
      </c>
      <c r="G357" s="3">
        <v>15000</v>
      </c>
      <c r="H357" s="3">
        <f t="shared" si="5"/>
        <v>1639.4399999999998</v>
      </c>
      <c r="I357" t="s">
        <v>13</v>
      </c>
      <c r="J357" s="3">
        <f>SUM(Table4[[#This Row],[Sales Amount]]-Table4[[#This Row],[Target]])</f>
        <v>1394.3999999999978</v>
      </c>
    </row>
    <row r="358" spans="1:10" ht="15" hidden="1" thickTop="1" x14ac:dyDescent="0.35">
      <c r="A358" s="2">
        <v>44501</v>
      </c>
      <c r="B358" t="s">
        <v>32</v>
      </c>
      <c r="C358" t="s">
        <v>33</v>
      </c>
      <c r="D358" t="s">
        <v>34</v>
      </c>
      <c r="E358" t="s">
        <v>24</v>
      </c>
      <c r="F358" s="3">
        <v>16606</v>
      </c>
      <c r="G358" s="3">
        <v>15000</v>
      </c>
      <c r="H358" s="3">
        <f t="shared" si="5"/>
        <v>1660.6000000000001</v>
      </c>
      <c r="I358" t="s">
        <v>41</v>
      </c>
      <c r="J358" s="3">
        <f>SUM(Table4[[#This Row],[Sales Amount]]-Table4[[#This Row],[Target]])</f>
        <v>1606</v>
      </c>
    </row>
    <row r="359" spans="1:10" ht="15" hidden="1" thickTop="1" x14ac:dyDescent="0.35">
      <c r="A359" s="2">
        <v>44501</v>
      </c>
      <c r="B359" t="s">
        <v>21</v>
      </c>
      <c r="C359" t="s">
        <v>22</v>
      </c>
      <c r="D359" t="s">
        <v>23</v>
      </c>
      <c r="E359" t="s">
        <v>24</v>
      </c>
      <c r="F359" s="3">
        <v>18452.599999999999</v>
      </c>
      <c r="G359" s="3">
        <v>15000</v>
      </c>
      <c r="H359" s="3">
        <f t="shared" si="5"/>
        <v>1845.26</v>
      </c>
      <c r="I359" t="s">
        <v>41</v>
      </c>
      <c r="J359" s="3">
        <f>SUM(Table4[[#This Row],[Sales Amount]]-Table4[[#This Row],[Target]])</f>
        <v>3452.5999999999985</v>
      </c>
    </row>
    <row r="360" spans="1:10" ht="15" hidden="1" thickTop="1" x14ac:dyDescent="0.35">
      <c r="A360" s="2">
        <v>44501</v>
      </c>
      <c r="B360" t="s">
        <v>48</v>
      </c>
      <c r="C360" t="s">
        <v>49</v>
      </c>
      <c r="D360" t="s">
        <v>50</v>
      </c>
      <c r="E360" t="s">
        <v>24</v>
      </c>
      <c r="F360" s="3">
        <v>20062.5</v>
      </c>
      <c r="G360" s="3">
        <v>15000</v>
      </c>
      <c r="H360" s="3">
        <f t="shared" si="5"/>
        <v>2006.25</v>
      </c>
      <c r="I360" t="s">
        <v>9</v>
      </c>
      <c r="J360" s="3">
        <f>SUM(Table4[[#This Row],[Sales Amount]]-Table4[[#This Row],[Target]])</f>
        <v>5062.5</v>
      </c>
    </row>
    <row r="361" spans="1:10" ht="15" hidden="1" thickTop="1" x14ac:dyDescent="0.35">
      <c r="A361" s="2">
        <v>44501</v>
      </c>
      <c r="B361" t="s">
        <v>54</v>
      </c>
      <c r="C361" t="s">
        <v>55</v>
      </c>
      <c r="D361" t="s">
        <v>56</v>
      </c>
      <c r="E361" t="s">
        <v>24</v>
      </c>
      <c r="F361" s="3">
        <v>22900.499999999996</v>
      </c>
      <c r="G361" s="3">
        <v>15000</v>
      </c>
      <c r="H361" s="3">
        <f t="shared" si="5"/>
        <v>2290.0499999999997</v>
      </c>
      <c r="I361" t="s">
        <v>9</v>
      </c>
      <c r="J361" s="3">
        <f>SUM(Table4[[#This Row],[Sales Amount]]-Table4[[#This Row],[Target]])</f>
        <v>7900.4999999999964</v>
      </c>
    </row>
    <row r="362" spans="1:10" ht="15" hidden="1" thickTop="1" x14ac:dyDescent="0.35">
      <c r="A362" s="2">
        <v>44501</v>
      </c>
      <c r="B362" t="s">
        <v>54</v>
      </c>
      <c r="C362" t="s">
        <v>55</v>
      </c>
      <c r="D362" t="s">
        <v>56</v>
      </c>
      <c r="E362" t="s">
        <v>24</v>
      </c>
      <c r="F362" s="3">
        <v>23057.999999999996</v>
      </c>
      <c r="G362" s="3">
        <v>15000</v>
      </c>
      <c r="H362" s="3">
        <f t="shared" si="5"/>
        <v>2305.7999999999997</v>
      </c>
      <c r="I362" t="s">
        <v>41</v>
      </c>
      <c r="J362" s="3">
        <f>SUM(Table4[[#This Row],[Sales Amount]]-Table4[[#This Row],[Target]])</f>
        <v>8057.9999999999964</v>
      </c>
    </row>
    <row r="363" spans="1:10" ht="15" hidden="1" thickTop="1" x14ac:dyDescent="0.35">
      <c r="A363" s="2">
        <v>44501</v>
      </c>
      <c r="B363" t="s">
        <v>32</v>
      </c>
      <c r="C363" t="s">
        <v>33</v>
      </c>
      <c r="D363" t="s">
        <v>34</v>
      </c>
      <c r="E363" t="s">
        <v>24</v>
      </c>
      <c r="F363" s="3">
        <v>37560</v>
      </c>
      <c r="G363" s="3">
        <v>15000</v>
      </c>
      <c r="H363" s="3">
        <f t="shared" si="5"/>
        <v>3756</v>
      </c>
      <c r="I363" t="s">
        <v>41</v>
      </c>
      <c r="J363" s="3">
        <f>SUM(Table4[[#This Row],[Sales Amount]]-Table4[[#This Row],[Target]])</f>
        <v>22560</v>
      </c>
    </row>
    <row r="364" spans="1:10" ht="15" hidden="1" thickTop="1" x14ac:dyDescent="0.35">
      <c r="A364" s="2">
        <v>44501</v>
      </c>
      <c r="B364" t="s">
        <v>48</v>
      </c>
      <c r="C364" t="s">
        <v>49</v>
      </c>
      <c r="D364" t="s">
        <v>50</v>
      </c>
      <c r="E364" t="s">
        <v>24</v>
      </c>
      <c r="F364" s="3">
        <v>38570</v>
      </c>
      <c r="G364" s="3">
        <v>15000</v>
      </c>
      <c r="H364" s="3">
        <f t="shared" si="5"/>
        <v>3857</v>
      </c>
      <c r="I364" t="s">
        <v>9</v>
      </c>
      <c r="J364" s="3">
        <f>SUM(Table4[[#This Row],[Sales Amount]]-Table4[[#This Row],[Target]])</f>
        <v>23570</v>
      </c>
    </row>
    <row r="365" spans="1:10" ht="15" hidden="1" thickTop="1" x14ac:dyDescent="0.35">
      <c r="A365" s="2">
        <v>44501</v>
      </c>
      <c r="B365" t="s">
        <v>21</v>
      </c>
      <c r="C365" t="s">
        <v>22</v>
      </c>
      <c r="D365" t="s">
        <v>23</v>
      </c>
      <c r="E365" t="s">
        <v>24</v>
      </c>
      <c r="F365" s="3">
        <v>39199.599999999999</v>
      </c>
      <c r="G365" s="3">
        <v>15000</v>
      </c>
      <c r="H365" s="3">
        <f t="shared" si="5"/>
        <v>3919.96</v>
      </c>
      <c r="I365" t="s">
        <v>41</v>
      </c>
      <c r="J365" s="3">
        <f>SUM(Table4[[#This Row],[Sales Amount]]-Table4[[#This Row],[Target]])</f>
        <v>24199.599999999999</v>
      </c>
    </row>
    <row r="366" spans="1:10" ht="15" thickTop="1" x14ac:dyDescent="0.35">
      <c r="A366" s="2">
        <v>44531</v>
      </c>
      <c r="B366" t="s">
        <v>10</v>
      </c>
      <c r="C366" t="s">
        <v>11</v>
      </c>
      <c r="D366" t="s">
        <v>12</v>
      </c>
      <c r="E366" t="s">
        <v>8</v>
      </c>
      <c r="F366" s="3">
        <v>3817.9999999999995</v>
      </c>
      <c r="G366" s="3">
        <v>15000</v>
      </c>
      <c r="H366" s="3" t="str">
        <f t="shared" si="5"/>
        <v>$_</v>
      </c>
      <c r="I366" t="s">
        <v>9</v>
      </c>
      <c r="J366" s="3">
        <f>SUM(Table4[[#This Row],[Sales Amount]]-Table4[[#This Row],[Target]])</f>
        <v>-11182</v>
      </c>
    </row>
    <row r="367" spans="1:10" x14ac:dyDescent="0.35">
      <c r="A367" s="2">
        <v>44531</v>
      </c>
      <c r="B367" t="s">
        <v>14</v>
      </c>
      <c r="C367" t="s">
        <v>15</v>
      </c>
      <c r="D367" t="s">
        <v>16</v>
      </c>
      <c r="E367" t="s">
        <v>8</v>
      </c>
      <c r="F367" s="3">
        <v>8683.1999999999989</v>
      </c>
      <c r="G367" s="3">
        <v>15000</v>
      </c>
      <c r="H367" s="3" t="str">
        <f t="shared" si="5"/>
        <v>$_</v>
      </c>
      <c r="I367" t="s">
        <v>13</v>
      </c>
      <c r="J367" s="3">
        <f>SUM(Table4[[#This Row],[Sales Amount]]-Table4[[#This Row],[Target]])</f>
        <v>-6316.8000000000011</v>
      </c>
    </row>
    <row r="368" spans="1:10" x14ac:dyDescent="0.35">
      <c r="A368" s="2">
        <v>44531</v>
      </c>
      <c r="B368" t="s">
        <v>5</v>
      </c>
      <c r="C368" t="s">
        <v>6</v>
      </c>
      <c r="D368" t="s">
        <v>7</v>
      </c>
      <c r="E368" t="s">
        <v>8</v>
      </c>
      <c r="F368" s="3">
        <v>11210</v>
      </c>
      <c r="G368" s="3">
        <v>15000</v>
      </c>
      <c r="H368" s="3" t="str">
        <f t="shared" si="5"/>
        <v>$_</v>
      </c>
      <c r="I368" t="s">
        <v>41</v>
      </c>
      <c r="J368" s="3">
        <f>SUM(Table4[[#This Row],[Sales Amount]]-Table4[[#This Row],[Target]])</f>
        <v>-3790</v>
      </c>
    </row>
    <row r="369" spans="1:10" x14ac:dyDescent="0.35">
      <c r="A369" s="2">
        <v>44531</v>
      </c>
      <c r="B369" t="s">
        <v>25</v>
      </c>
      <c r="C369" t="s">
        <v>26</v>
      </c>
      <c r="D369" t="s">
        <v>27</v>
      </c>
      <c r="E369" t="s">
        <v>8</v>
      </c>
      <c r="F369" s="3">
        <v>12765.2</v>
      </c>
      <c r="G369" s="3">
        <v>15000</v>
      </c>
      <c r="H369" s="3" t="str">
        <f t="shared" si="5"/>
        <v>$_</v>
      </c>
      <c r="I369" t="s">
        <v>41</v>
      </c>
      <c r="J369" s="3">
        <f>SUM(Table4[[#This Row],[Sales Amount]]-Table4[[#This Row],[Target]])</f>
        <v>-2234.7999999999993</v>
      </c>
    </row>
    <row r="370" spans="1:10" x14ac:dyDescent="0.35">
      <c r="A370" s="2">
        <v>44531</v>
      </c>
      <c r="B370" t="s">
        <v>10</v>
      </c>
      <c r="C370" t="s">
        <v>11</v>
      </c>
      <c r="D370" t="s">
        <v>12</v>
      </c>
      <c r="E370" t="s">
        <v>8</v>
      </c>
      <c r="F370" s="3">
        <v>15921.999999999998</v>
      </c>
      <c r="G370" s="3">
        <v>15000</v>
      </c>
      <c r="H370" s="3">
        <f t="shared" si="5"/>
        <v>1592.1999999999998</v>
      </c>
      <c r="I370" t="s">
        <v>41</v>
      </c>
      <c r="J370" s="3">
        <f>SUM(Table4[[#This Row],[Sales Amount]]-Table4[[#This Row],[Target]])</f>
        <v>921.99999999999818</v>
      </c>
    </row>
    <row r="371" spans="1:10" x14ac:dyDescent="0.35">
      <c r="A371" s="2">
        <v>44531</v>
      </c>
      <c r="B371" t="s">
        <v>25</v>
      </c>
      <c r="C371" t="s">
        <v>26</v>
      </c>
      <c r="D371" t="s">
        <v>27</v>
      </c>
      <c r="E371" t="s">
        <v>8</v>
      </c>
      <c r="F371" s="3">
        <v>31970.799999999999</v>
      </c>
      <c r="G371" s="3">
        <v>15000</v>
      </c>
      <c r="H371" s="3">
        <f t="shared" si="5"/>
        <v>3197.08</v>
      </c>
      <c r="I371" t="s">
        <v>9</v>
      </c>
      <c r="J371" s="3">
        <f>SUM(Table4[[#This Row],[Sales Amount]]-Table4[[#This Row],[Target]])</f>
        <v>16970.8</v>
      </c>
    </row>
    <row r="372" spans="1:10" x14ac:dyDescent="0.35">
      <c r="A372" s="2">
        <v>44531</v>
      </c>
      <c r="B372" t="s">
        <v>5</v>
      </c>
      <c r="C372" t="s">
        <v>6</v>
      </c>
      <c r="D372" t="s">
        <v>7</v>
      </c>
      <c r="E372" t="s">
        <v>8</v>
      </c>
      <c r="F372" s="3">
        <v>41520</v>
      </c>
      <c r="G372" s="3">
        <v>15000</v>
      </c>
      <c r="H372" s="3">
        <f t="shared" si="5"/>
        <v>4152</v>
      </c>
      <c r="I372" t="s">
        <v>9</v>
      </c>
      <c r="J372" s="3">
        <f>SUM(Table4[[#This Row],[Sales Amount]]-Table4[[#This Row],[Target]])</f>
        <v>26520</v>
      </c>
    </row>
    <row r="373" spans="1:10" x14ac:dyDescent="0.35">
      <c r="A373" s="2">
        <v>44531</v>
      </c>
      <c r="B373" t="s">
        <v>5</v>
      </c>
      <c r="C373" t="s">
        <v>6</v>
      </c>
      <c r="D373" t="s">
        <v>7</v>
      </c>
      <c r="E373" t="s">
        <v>8</v>
      </c>
      <c r="F373" s="3">
        <v>45800.999999999993</v>
      </c>
      <c r="G373" s="3">
        <v>15000</v>
      </c>
      <c r="H373" s="3">
        <f t="shared" si="5"/>
        <v>4580.0999999999995</v>
      </c>
      <c r="I373" t="s">
        <v>13</v>
      </c>
      <c r="J373" s="3">
        <f>SUM(Table4[[#This Row],[Sales Amount]]-Table4[[#This Row],[Target]])</f>
        <v>30800.999999999993</v>
      </c>
    </row>
    <row r="374" spans="1:10" x14ac:dyDescent="0.35">
      <c r="A374" s="2">
        <v>44531</v>
      </c>
      <c r="B374" t="s">
        <v>63</v>
      </c>
      <c r="C374" t="s">
        <v>64</v>
      </c>
      <c r="D374" t="s">
        <v>65</v>
      </c>
      <c r="E374" t="s">
        <v>20</v>
      </c>
      <c r="F374" s="3">
        <v>7009.2000000000007</v>
      </c>
      <c r="G374" s="3">
        <v>15000</v>
      </c>
      <c r="H374" s="3" t="str">
        <f t="shared" si="5"/>
        <v>$_</v>
      </c>
      <c r="I374" t="s">
        <v>13</v>
      </c>
      <c r="J374" s="3">
        <f>SUM(Table4[[#This Row],[Sales Amount]]-Table4[[#This Row],[Target]])</f>
        <v>-7990.7999999999993</v>
      </c>
    </row>
    <row r="375" spans="1:10" x14ac:dyDescent="0.35">
      <c r="A375" s="2">
        <v>44531</v>
      </c>
      <c r="B375" t="s">
        <v>51</v>
      </c>
      <c r="C375" t="s">
        <v>52</v>
      </c>
      <c r="D375" t="s">
        <v>53</v>
      </c>
      <c r="E375" t="s">
        <v>20</v>
      </c>
      <c r="F375" s="3">
        <v>7088.9</v>
      </c>
      <c r="G375" s="3">
        <v>15000</v>
      </c>
      <c r="H375" s="3" t="str">
        <f t="shared" si="5"/>
        <v>$_</v>
      </c>
      <c r="I375" t="s">
        <v>9</v>
      </c>
      <c r="J375" s="3">
        <f>SUM(Table4[[#This Row],[Sales Amount]]-Table4[[#This Row],[Target]])</f>
        <v>-7911.1</v>
      </c>
    </row>
    <row r="376" spans="1:10" x14ac:dyDescent="0.35">
      <c r="A376" s="2">
        <v>44531</v>
      </c>
      <c r="B376" t="s">
        <v>63</v>
      </c>
      <c r="C376" t="s">
        <v>64</v>
      </c>
      <c r="D376" t="s">
        <v>65</v>
      </c>
      <c r="E376" t="s">
        <v>20</v>
      </c>
      <c r="F376" s="3">
        <v>8095.5</v>
      </c>
      <c r="G376" s="3">
        <v>15000</v>
      </c>
      <c r="H376" s="3" t="str">
        <f t="shared" si="5"/>
        <v>$_</v>
      </c>
      <c r="I376" t="s">
        <v>9</v>
      </c>
      <c r="J376" s="3">
        <f>SUM(Table4[[#This Row],[Sales Amount]]-Table4[[#This Row],[Target]])</f>
        <v>-6904.5</v>
      </c>
    </row>
    <row r="377" spans="1:10" x14ac:dyDescent="0.35">
      <c r="A377" s="2">
        <v>44531</v>
      </c>
      <c r="B377" t="s">
        <v>17</v>
      </c>
      <c r="C377" t="s">
        <v>18</v>
      </c>
      <c r="D377" t="s">
        <v>19</v>
      </c>
      <c r="E377" t="s">
        <v>20</v>
      </c>
      <c r="F377" s="3">
        <v>8914.5</v>
      </c>
      <c r="G377" s="3">
        <v>15000</v>
      </c>
      <c r="H377" s="3" t="str">
        <f t="shared" si="5"/>
        <v>$_</v>
      </c>
      <c r="I377" t="s">
        <v>9</v>
      </c>
      <c r="J377" s="3">
        <f>SUM(Table4[[#This Row],[Sales Amount]]-Table4[[#This Row],[Target]])</f>
        <v>-6085.5</v>
      </c>
    </row>
    <row r="378" spans="1:10" x14ac:dyDescent="0.35">
      <c r="A378" s="2">
        <v>44531</v>
      </c>
      <c r="B378" t="s">
        <v>57</v>
      </c>
      <c r="C378" t="s">
        <v>58</v>
      </c>
      <c r="D378" t="s">
        <v>59</v>
      </c>
      <c r="E378" t="s">
        <v>31</v>
      </c>
      <c r="F378" s="3">
        <v>7721.5999999999995</v>
      </c>
      <c r="G378" s="3">
        <v>15000</v>
      </c>
      <c r="H378" s="3" t="str">
        <f t="shared" si="5"/>
        <v>$_</v>
      </c>
      <c r="I378" t="s">
        <v>9</v>
      </c>
      <c r="J378" s="3">
        <f>SUM(Table4[[#This Row],[Sales Amount]]-Table4[[#This Row],[Target]])</f>
        <v>-7278.4000000000005</v>
      </c>
    </row>
    <row r="379" spans="1:10" x14ac:dyDescent="0.35">
      <c r="A379" s="2">
        <v>44531</v>
      </c>
      <c r="B379" t="s">
        <v>38</v>
      </c>
      <c r="C379" t="s">
        <v>39</v>
      </c>
      <c r="D379" t="s">
        <v>40</v>
      </c>
      <c r="E379" t="s">
        <v>31</v>
      </c>
      <c r="F379" s="3">
        <v>8925.7000000000007</v>
      </c>
      <c r="G379" s="3">
        <v>15000</v>
      </c>
      <c r="H379" s="3" t="str">
        <f t="shared" si="5"/>
        <v>$_</v>
      </c>
      <c r="I379" t="s">
        <v>9</v>
      </c>
      <c r="J379" s="3">
        <f>SUM(Table4[[#This Row],[Sales Amount]]-Table4[[#This Row],[Target]])</f>
        <v>-6074.2999999999993</v>
      </c>
    </row>
    <row r="380" spans="1:10" x14ac:dyDescent="0.35">
      <c r="A380" s="2">
        <v>44531</v>
      </c>
      <c r="B380" t="s">
        <v>38</v>
      </c>
      <c r="C380" t="s">
        <v>39</v>
      </c>
      <c r="D380" t="s">
        <v>40</v>
      </c>
      <c r="E380" t="s">
        <v>31</v>
      </c>
      <c r="F380" s="3">
        <v>15802.6</v>
      </c>
      <c r="G380" s="3">
        <v>15000</v>
      </c>
      <c r="H380" s="3">
        <f t="shared" si="5"/>
        <v>1580.2600000000002</v>
      </c>
      <c r="I380" t="s">
        <v>41</v>
      </c>
      <c r="J380" s="3">
        <f>SUM(Table4[[#This Row],[Sales Amount]]-Table4[[#This Row],[Target]])</f>
        <v>802.60000000000036</v>
      </c>
    </row>
    <row r="381" spans="1:10" x14ac:dyDescent="0.35">
      <c r="A381" s="2">
        <v>44531</v>
      </c>
      <c r="B381" t="s">
        <v>69</v>
      </c>
      <c r="C381" t="s">
        <v>70</v>
      </c>
      <c r="D381" t="s">
        <v>71</v>
      </c>
      <c r="E381" t="s">
        <v>31</v>
      </c>
      <c r="F381" s="3">
        <v>21103.3</v>
      </c>
      <c r="G381" s="3">
        <v>15000</v>
      </c>
      <c r="H381" s="3">
        <f t="shared" si="5"/>
        <v>2110.33</v>
      </c>
      <c r="I381" t="s">
        <v>41</v>
      </c>
      <c r="J381" s="3">
        <f>SUM(Table4[[#This Row],[Sales Amount]]-Table4[[#This Row],[Target]])</f>
        <v>6103.2999999999993</v>
      </c>
    </row>
    <row r="382" spans="1:10" x14ac:dyDescent="0.35">
      <c r="A382" s="2">
        <v>44531</v>
      </c>
      <c r="B382" t="s">
        <v>69</v>
      </c>
      <c r="C382" t="s">
        <v>70</v>
      </c>
      <c r="D382" t="s">
        <v>71</v>
      </c>
      <c r="E382" t="s">
        <v>31</v>
      </c>
      <c r="F382" s="3">
        <v>22351.100000000002</v>
      </c>
      <c r="G382" s="3">
        <v>15000</v>
      </c>
      <c r="H382" s="3">
        <f t="shared" si="5"/>
        <v>2235.11</v>
      </c>
      <c r="I382" t="s">
        <v>41</v>
      </c>
      <c r="J382" s="3">
        <f>SUM(Table4[[#This Row],[Sales Amount]]-Table4[[#This Row],[Target]])</f>
        <v>7351.1000000000022</v>
      </c>
    </row>
    <row r="383" spans="1:10" x14ac:dyDescent="0.35">
      <c r="A383" s="2">
        <v>44531</v>
      </c>
      <c r="B383" t="s">
        <v>38</v>
      </c>
      <c r="C383" t="s">
        <v>39</v>
      </c>
      <c r="D383" t="s">
        <v>40</v>
      </c>
      <c r="E383" t="s">
        <v>31</v>
      </c>
      <c r="F383" s="3">
        <v>43974</v>
      </c>
      <c r="G383" s="3">
        <v>15000</v>
      </c>
      <c r="H383" s="3">
        <f t="shared" si="5"/>
        <v>4397.4000000000005</v>
      </c>
      <c r="I383" t="s">
        <v>9</v>
      </c>
      <c r="J383" s="3">
        <f>SUM(Table4[[#This Row],[Sales Amount]]-Table4[[#This Row],[Target]])</f>
        <v>28974</v>
      </c>
    </row>
    <row r="384" spans="1:10" x14ac:dyDescent="0.35">
      <c r="A384" s="2">
        <v>44531</v>
      </c>
      <c r="B384" t="s">
        <v>32</v>
      </c>
      <c r="C384" t="s">
        <v>33</v>
      </c>
      <c r="D384" t="s">
        <v>34</v>
      </c>
      <c r="E384" t="s">
        <v>24</v>
      </c>
      <c r="F384" s="3">
        <v>8082.7999999999993</v>
      </c>
      <c r="G384" s="3">
        <v>15000</v>
      </c>
      <c r="H384" s="3" t="str">
        <f t="shared" si="5"/>
        <v>$_</v>
      </c>
      <c r="I384" t="s">
        <v>9</v>
      </c>
      <c r="J384" s="3">
        <f>SUM(Table4[[#This Row],[Sales Amount]]-Table4[[#This Row],[Target]])</f>
        <v>-6917.2000000000007</v>
      </c>
    </row>
    <row r="385" spans="1:10" x14ac:dyDescent="0.35">
      <c r="A385" s="2">
        <v>44531</v>
      </c>
      <c r="B385" t="s">
        <v>48</v>
      </c>
      <c r="C385" t="s">
        <v>49</v>
      </c>
      <c r="D385" t="s">
        <v>50</v>
      </c>
      <c r="E385" t="s">
        <v>24</v>
      </c>
      <c r="F385" s="3">
        <v>9826.4</v>
      </c>
      <c r="G385" s="3">
        <v>15000</v>
      </c>
      <c r="H385" s="3" t="str">
        <f t="shared" si="5"/>
        <v>$_</v>
      </c>
      <c r="I385" t="s">
        <v>41</v>
      </c>
      <c r="J385" s="3">
        <f>SUM(Table4[[#This Row],[Sales Amount]]-Table4[[#This Row],[Target]])</f>
        <v>-5173.6000000000004</v>
      </c>
    </row>
    <row r="386" spans="1:10" x14ac:dyDescent="0.35">
      <c r="A386" s="2">
        <v>44531</v>
      </c>
      <c r="B386" t="s">
        <v>54</v>
      </c>
      <c r="C386" t="s">
        <v>55</v>
      </c>
      <c r="D386" t="s">
        <v>56</v>
      </c>
      <c r="E386" t="s">
        <v>24</v>
      </c>
      <c r="F386" s="3">
        <v>12328</v>
      </c>
      <c r="G386" s="3">
        <v>15000</v>
      </c>
      <c r="H386" s="3" t="str">
        <f t="shared" ref="H386:H390" si="6">IF(F386&gt;=G386, F386*Commission, "$_")</f>
        <v>$_</v>
      </c>
      <c r="I386" t="s">
        <v>13</v>
      </c>
      <c r="J386" s="3">
        <f>SUM(Table4[[#This Row],[Sales Amount]]-Table4[[#This Row],[Target]])</f>
        <v>-2672</v>
      </c>
    </row>
    <row r="387" spans="1:10" x14ac:dyDescent="0.35">
      <c r="A387" s="2">
        <v>44531</v>
      </c>
      <c r="B387" t="s">
        <v>32</v>
      </c>
      <c r="C387" t="s">
        <v>33</v>
      </c>
      <c r="D387" t="s">
        <v>34</v>
      </c>
      <c r="E387" t="s">
        <v>24</v>
      </c>
      <c r="F387" s="3">
        <v>24544</v>
      </c>
      <c r="G387" s="3">
        <v>15000</v>
      </c>
      <c r="H387" s="3">
        <f t="shared" si="6"/>
        <v>2454.4</v>
      </c>
      <c r="I387" t="s">
        <v>13</v>
      </c>
      <c r="J387" s="3">
        <f>SUM(Table4[[#This Row],[Sales Amount]]-Table4[[#This Row],[Target]])</f>
        <v>9544</v>
      </c>
    </row>
    <row r="388" spans="1:10" x14ac:dyDescent="0.35">
      <c r="A388" s="2">
        <v>44531</v>
      </c>
      <c r="B388" t="s">
        <v>21</v>
      </c>
      <c r="C388" t="s">
        <v>22</v>
      </c>
      <c r="D388" t="s">
        <v>23</v>
      </c>
      <c r="E388" t="s">
        <v>24</v>
      </c>
      <c r="F388" s="3">
        <v>27350.400000000001</v>
      </c>
      <c r="G388" s="3">
        <v>15000</v>
      </c>
      <c r="H388" s="3">
        <f t="shared" si="6"/>
        <v>2735.0400000000004</v>
      </c>
      <c r="I388" t="s">
        <v>41</v>
      </c>
      <c r="J388" s="3">
        <f>SUM(Table4[[#This Row],[Sales Amount]]-Table4[[#This Row],[Target]])</f>
        <v>12350.400000000001</v>
      </c>
    </row>
    <row r="389" spans="1:10" x14ac:dyDescent="0.35">
      <c r="A389" s="2">
        <v>44531</v>
      </c>
      <c r="B389" t="s">
        <v>45</v>
      </c>
      <c r="C389" t="s">
        <v>46</v>
      </c>
      <c r="D389" t="s">
        <v>47</v>
      </c>
      <c r="E389" t="s">
        <v>24</v>
      </c>
      <c r="F389" s="3">
        <v>28845</v>
      </c>
      <c r="G389" s="3">
        <v>15000</v>
      </c>
      <c r="H389" s="3">
        <f t="shared" si="6"/>
        <v>2884.5</v>
      </c>
      <c r="I389" t="s">
        <v>13</v>
      </c>
      <c r="J389" s="3">
        <f>SUM(Table4[[#This Row],[Sales Amount]]-Table4[[#This Row],[Target]])</f>
        <v>13845</v>
      </c>
    </row>
    <row r="390" spans="1:10" x14ac:dyDescent="0.35">
      <c r="A390" s="2">
        <v>44531</v>
      </c>
      <c r="B390" t="s">
        <v>21</v>
      </c>
      <c r="C390" t="s">
        <v>22</v>
      </c>
      <c r="D390" t="s">
        <v>23</v>
      </c>
      <c r="E390" t="s">
        <v>24</v>
      </c>
      <c r="F390" s="3">
        <v>43593.599999999999</v>
      </c>
      <c r="G390" s="3">
        <v>15000</v>
      </c>
      <c r="H390" s="3">
        <f t="shared" si="6"/>
        <v>4359.3599999999997</v>
      </c>
      <c r="I390" t="s">
        <v>13</v>
      </c>
      <c r="J390" s="3">
        <f>SUM(Table4[[#This Row],[Sales Amount]]-Table4[[#This Row],[Target]])</f>
        <v>28593.599999999999</v>
      </c>
    </row>
    <row r="391" spans="1:10" x14ac:dyDescent="0.35">
      <c r="A391" t="s">
        <v>94</v>
      </c>
      <c r="F391" s="3">
        <f>SUM(Table4[Sales Amount])</f>
        <v>7286551.0000000009</v>
      </c>
      <c r="G391" s="9"/>
      <c r="H391" s="3">
        <f>SUM(Table4[Commission])</f>
        <v>572080.0399999998</v>
      </c>
      <c r="J391" s="17">
        <f>SUM(Table4[Over/Under])</f>
        <v>1451551</v>
      </c>
    </row>
  </sheetData>
  <conditionalFormatting sqref="J1">
    <cfRule type="cellIs" dxfId="1" priority="2" operator="lessThan">
      <formula>0</formula>
    </cfRule>
  </conditionalFormatting>
  <conditionalFormatting sqref="J1:J1048576">
    <cfRule type="cellIs" dxfId="0" priority="1" operator="lessThan">
      <formula>0</formula>
    </cfRule>
  </conditionalFormatting>
  <hyperlinks>
    <hyperlink ref="N1" location="'Cover Page'!A1" display="'back to Cover Page" xr:uid="{B7F23A33-DDCD-4426-844B-F9F68732E2DE}"/>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2B6A-E6AF-4342-B342-9C08665B7333}">
  <sheetPr>
    <tabColor theme="5" tint="-0.249977111117893"/>
  </sheetPr>
  <dimension ref="A1:W5"/>
  <sheetViews>
    <sheetView zoomScale="90" workbookViewId="0">
      <selection activeCell="W2" sqref="W2"/>
    </sheetView>
  </sheetViews>
  <sheetFormatPr defaultRowHeight="14.5" x14ac:dyDescent="0.35"/>
  <cols>
    <col min="2" max="2" width="14.81640625" customWidth="1"/>
    <col min="3" max="3" width="15.54296875" customWidth="1"/>
    <col min="23" max="23" width="22.26953125" customWidth="1"/>
  </cols>
  <sheetData>
    <row r="1" spans="1:23" ht="19" thickBot="1" x14ac:dyDescent="0.5">
      <c r="A1" s="27" t="s">
        <v>121</v>
      </c>
      <c r="B1" s="27" t="s">
        <v>122</v>
      </c>
      <c r="C1" s="27" t="s">
        <v>86</v>
      </c>
      <c r="W1" s="34" t="s">
        <v>133</v>
      </c>
    </row>
    <row r="2" spans="1:23" x14ac:dyDescent="0.35">
      <c r="A2" t="s">
        <v>31</v>
      </c>
      <c r="B2" s="19">
        <v>1945833.2</v>
      </c>
      <c r="C2" s="19">
        <v>157168.13</v>
      </c>
    </row>
    <row r="3" spans="1:23" x14ac:dyDescent="0.35">
      <c r="A3" t="s">
        <v>24</v>
      </c>
      <c r="B3" s="19">
        <v>1812496.3</v>
      </c>
      <c r="C3" s="19">
        <v>138522.42000000001</v>
      </c>
    </row>
    <row r="4" spans="1:23" x14ac:dyDescent="0.35">
      <c r="A4" t="s">
        <v>8</v>
      </c>
      <c r="B4" s="19">
        <v>1805833.6</v>
      </c>
      <c r="C4" s="19">
        <v>147698.53</v>
      </c>
    </row>
    <row r="5" spans="1:23" x14ac:dyDescent="0.35">
      <c r="A5" t="s">
        <v>20</v>
      </c>
      <c r="B5" s="19">
        <v>1722387.9</v>
      </c>
      <c r="C5" s="19">
        <v>128660.96</v>
      </c>
    </row>
  </sheetData>
  <hyperlinks>
    <hyperlink ref="W1" location="'Cover Page'!A1" display="'back to Cover Page" xr:uid="{D2708A30-FF71-4D3D-98A3-44424D0D065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5F57-6245-48A0-9545-43C6F8D58C20}">
  <sheetPr>
    <tabColor rgb="FF002060"/>
  </sheetPr>
  <dimension ref="A1:T17"/>
  <sheetViews>
    <sheetView topLeftCell="D1" workbookViewId="0">
      <selection activeCell="T2" sqref="T2"/>
    </sheetView>
  </sheetViews>
  <sheetFormatPr defaultRowHeight="14.5" x14ac:dyDescent="0.35"/>
  <cols>
    <col min="1" max="1" width="22.1796875" bestFit="1" customWidth="1"/>
    <col min="2" max="2" width="12.7265625" bestFit="1" customWidth="1"/>
    <col min="3" max="3" width="16.54296875" bestFit="1" customWidth="1"/>
    <col min="20" max="20" width="19.1796875" customWidth="1"/>
  </cols>
  <sheetData>
    <row r="1" spans="1:20" x14ac:dyDescent="0.35">
      <c r="T1" s="34" t="s">
        <v>133</v>
      </c>
    </row>
    <row r="2" spans="1:20" x14ac:dyDescent="0.35">
      <c r="A2" s="28" t="s">
        <v>119</v>
      </c>
      <c r="B2" t="s">
        <v>13</v>
      </c>
    </row>
    <row r="4" spans="1:20" x14ac:dyDescent="0.35">
      <c r="A4" s="28" t="s">
        <v>0</v>
      </c>
      <c r="B4" t="s">
        <v>124</v>
      </c>
      <c r="C4" t="s">
        <v>125</v>
      </c>
    </row>
    <row r="5" spans="1:20" x14ac:dyDescent="0.35">
      <c r="A5" s="29">
        <v>44197</v>
      </c>
      <c r="B5" s="17">
        <v>137903.89999999997</v>
      </c>
      <c r="C5" s="30">
        <v>5.2831512772835036E-2</v>
      </c>
    </row>
    <row r="6" spans="1:20" x14ac:dyDescent="0.35">
      <c r="A6" s="29">
        <v>44228</v>
      </c>
      <c r="B6" s="17">
        <v>264318.8</v>
      </c>
      <c r="C6" s="30">
        <v>0.10126154560023634</v>
      </c>
    </row>
    <row r="7" spans="1:20" x14ac:dyDescent="0.35">
      <c r="A7" s="29">
        <v>44256</v>
      </c>
      <c r="B7" s="17">
        <v>361639.10000000003</v>
      </c>
      <c r="C7" s="30">
        <v>0.13854532562753175</v>
      </c>
    </row>
    <row r="8" spans="1:20" x14ac:dyDescent="0.35">
      <c r="A8" s="29">
        <v>44287</v>
      </c>
      <c r="B8" s="17">
        <v>153625.5</v>
      </c>
      <c r="C8" s="30">
        <v>5.8854518004807482E-2</v>
      </c>
    </row>
    <row r="9" spans="1:20" x14ac:dyDescent="0.35">
      <c r="A9" s="29">
        <v>44317</v>
      </c>
      <c r="B9" s="17">
        <v>250748.90000000002</v>
      </c>
      <c r="C9" s="30">
        <v>9.6062864887246413E-2</v>
      </c>
    </row>
    <row r="10" spans="1:20" x14ac:dyDescent="0.35">
      <c r="A10" s="29">
        <v>44348</v>
      </c>
      <c r="B10" s="17">
        <v>237216.19999999998</v>
      </c>
      <c r="C10" s="30">
        <v>9.0878435636870258E-2</v>
      </c>
    </row>
    <row r="11" spans="1:20" x14ac:dyDescent="0.35">
      <c r="A11" s="29">
        <v>44378</v>
      </c>
      <c r="B11" s="17">
        <v>117175.69999999998</v>
      </c>
      <c r="C11" s="30">
        <v>4.4890459887036459E-2</v>
      </c>
    </row>
    <row r="12" spans="1:20" x14ac:dyDescent="0.35">
      <c r="A12" s="29">
        <v>44409</v>
      </c>
      <c r="B12" s="17">
        <v>276536.90000000002</v>
      </c>
      <c r="C12" s="30">
        <v>0.10594234655082424</v>
      </c>
    </row>
    <row r="13" spans="1:20" x14ac:dyDescent="0.35">
      <c r="A13" s="29">
        <v>44440</v>
      </c>
      <c r="B13" s="17">
        <v>242845.1</v>
      </c>
      <c r="C13" s="30">
        <v>9.3034888806410879E-2</v>
      </c>
    </row>
    <row r="14" spans="1:20" x14ac:dyDescent="0.35">
      <c r="A14" s="29">
        <v>44470</v>
      </c>
      <c r="B14" s="17">
        <v>194725.70000000004</v>
      </c>
      <c r="C14" s="30">
        <v>7.4600162190839037E-2</v>
      </c>
    </row>
    <row r="15" spans="1:20" x14ac:dyDescent="0.35">
      <c r="A15" s="29">
        <v>44501</v>
      </c>
      <c r="B15" s="17">
        <v>202718.6</v>
      </c>
      <c r="C15" s="30">
        <v>7.7662272823257647E-2</v>
      </c>
    </row>
    <row r="16" spans="1:20" x14ac:dyDescent="0.35">
      <c r="A16" s="29">
        <v>44531</v>
      </c>
      <c r="B16" s="17">
        <v>170804</v>
      </c>
      <c r="C16" s="30">
        <v>6.5435667212104351E-2</v>
      </c>
    </row>
    <row r="17" spans="1:3" x14ac:dyDescent="0.35">
      <c r="A17" s="29" t="s">
        <v>123</v>
      </c>
      <c r="B17" s="17">
        <v>2610258.4000000004</v>
      </c>
      <c r="C17" s="30">
        <v>1</v>
      </c>
    </row>
  </sheetData>
  <hyperlinks>
    <hyperlink ref="T1" location="'Cover Page'!A1" display="'back to Cover Page" xr:uid="{69CDC3BA-4598-4813-8EB3-F3BE00484254}"/>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5F4CF-184B-403B-8D95-2E601E6C11BD}">
  <dimension ref="A1:P21"/>
  <sheetViews>
    <sheetView topLeftCell="B1" workbookViewId="0">
      <selection activeCell="D2" sqref="D2"/>
    </sheetView>
  </sheetViews>
  <sheetFormatPr defaultRowHeight="14.5" x14ac:dyDescent="0.35"/>
  <cols>
    <col min="1" max="1" width="19.26953125" hidden="1" customWidth="1"/>
    <col min="2" max="2" width="20" customWidth="1"/>
    <col min="3" max="3" width="27.1796875" customWidth="1"/>
    <col min="4" max="4" width="20.26953125" customWidth="1"/>
    <col min="16" max="16" width="18" customWidth="1"/>
  </cols>
  <sheetData>
    <row r="1" spans="1:16" ht="15.5" x14ac:dyDescent="0.35">
      <c r="B1" s="22" t="s">
        <v>2</v>
      </c>
      <c r="C1" s="22" t="s">
        <v>3</v>
      </c>
      <c r="D1" s="22" t="s">
        <v>135</v>
      </c>
      <c r="P1" s="34" t="s">
        <v>133</v>
      </c>
    </row>
    <row r="2" spans="1:16" x14ac:dyDescent="0.35">
      <c r="A2" t="s">
        <v>99</v>
      </c>
      <c r="B2" s="21" t="str" cm="1">
        <f t="array" ref="B2:D2">_xlfn.TEXTSPLIT(A2,"_")</f>
        <v>BRITTANY</v>
      </c>
      <c r="C2" s="21" t="str">
        <v>GAULT</v>
      </c>
      <c r="D2" s="21" t="str">
        <v>NE12192</v>
      </c>
    </row>
    <row r="3" spans="1:16" x14ac:dyDescent="0.35">
      <c r="A3" t="s">
        <v>100</v>
      </c>
      <c r="B3" s="21" t="str" cm="1">
        <f t="array" ref="B3:D3">_xlfn.TEXTSPLIT(A3,"_")</f>
        <v>NICOLE</v>
      </c>
      <c r="C3" s="21" t="str">
        <v>MAIER</v>
      </c>
      <c r="D3" s="21" t="str">
        <v>NE11021</v>
      </c>
    </row>
    <row r="4" spans="1:16" x14ac:dyDescent="0.35">
      <c r="A4" t="s">
        <v>101</v>
      </c>
      <c r="B4" s="21" t="str" cm="1">
        <f t="array" ref="B4:D4">_xlfn.TEXTSPLIT(A4,"_")</f>
        <v>CLAY</v>
      </c>
      <c r="C4" s="21" t="str">
        <v>CORBIN</v>
      </c>
      <c r="D4" s="21" t="str">
        <v>NE10264</v>
      </c>
    </row>
    <row r="5" spans="1:16" x14ac:dyDescent="0.35">
      <c r="A5" t="s">
        <v>102</v>
      </c>
      <c r="B5" s="21" t="str" cm="1">
        <f t="array" ref="B5:D5">_xlfn.TEXTSPLIT(A5,"_")</f>
        <v>ASHLEY</v>
      </c>
      <c r="C5" s="21" t="str">
        <v>DELANGE</v>
      </c>
      <c r="D5" s="21" t="str">
        <v>NE10305</v>
      </c>
    </row>
    <row r="6" spans="1:16" x14ac:dyDescent="0.35">
      <c r="A6" t="s">
        <v>103</v>
      </c>
      <c r="B6" s="21" t="str" cm="1">
        <f t="array" ref="B6:D6">_xlfn.TEXTSPLIT(A6,"_")</f>
        <v>JENNIFER</v>
      </c>
      <c r="C6" s="21" t="str">
        <v>VAZQUEZ</v>
      </c>
      <c r="D6" s="21" t="str">
        <v>NE11114</v>
      </c>
    </row>
    <row r="7" spans="1:16" x14ac:dyDescent="0.35">
      <c r="A7" t="s">
        <v>104</v>
      </c>
      <c r="B7" s="21" t="str" cm="1">
        <f t="array" ref="B7:D7">_xlfn.TEXTSPLIT(A7,"_")</f>
        <v>MANNY</v>
      </c>
      <c r="C7" s="21" t="str">
        <v>WEBSTER</v>
      </c>
      <c r="D7" s="21" t="str">
        <v>NW10414</v>
      </c>
    </row>
    <row r="8" spans="1:16" x14ac:dyDescent="0.35">
      <c r="A8" t="s">
        <v>105</v>
      </c>
      <c r="B8" s="21" t="str" cm="1">
        <f t="array" ref="B8:D8">_xlfn.TEXTSPLIT(A8,"_")</f>
        <v>LUKE</v>
      </c>
      <c r="C8" s="21" t="str">
        <v>REDENBAUGH</v>
      </c>
      <c r="D8" s="21" t="str">
        <v>NW12041</v>
      </c>
    </row>
    <row r="9" spans="1:16" x14ac:dyDescent="0.35">
      <c r="A9" t="s">
        <v>106</v>
      </c>
      <c r="B9" s="21" t="str" cm="1">
        <f t="array" ref="B9:D9">_xlfn.TEXTSPLIT(A9,"_")</f>
        <v>DEBBIE</v>
      </c>
      <c r="C9" s="21" t="str">
        <v>GODOY</v>
      </c>
      <c r="D9" s="21" t="str">
        <v>NW11115</v>
      </c>
    </row>
    <row r="10" spans="1:16" x14ac:dyDescent="0.35">
      <c r="A10" t="s">
        <v>107</v>
      </c>
      <c r="B10" s="21" t="str" cm="1">
        <f t="array" ref="B10:D10">_xlfn.TEXTSPLIT(A10,"_")</f>
        <v>ELIZABETH</v>
      </c>
      <c r="C10" s="21" t="str">
        <v>LAMBERT</v>
      </c>
      <c r="D10" s="21" t="str">
        <v>NW11651</v>
      </c>
    </row>
    <row r="11" spans="1:16" x14ac:dyDescent="0.35">
      <c r="A11" t="s">
        <v>108</v>
      </c>
      <c r="B11" s="21" t="str" cm="1">
        <f t="array" ref="B11:D11">_xlfn.TEXTSPLIT(A11,"_")</f>
        <v>JOEL</v>
      </c>
      <c r="C11" s="21" t="str">
        <v>JONES</v>
      </c>
      <c r="D11" s="21" t="str">
        <v>NW11838</v>
      </c>
    </row>
    <row r="12" spans="1:16" x14ac:dyDescent="0.35">
      <c r="A12" t="s">
        <v>109</v>
      </c>
      <c r="B12" s="21" t="str" cm="1">
        <f t="array" ref="B12:D12">_xlfn.TEXTSPLIT(A12,"_")</f>
        <v>EBONY</v>
      </c>
      <c r="C12" s="21" t="str">
        <v>PANE</v>
      </c>
      <c r="D12" s="21" t="str">
        <v>SE11625</v>
      </c>
    </row>
    <row r="13" spans="1:16" x14ac:dyDescent="0.35">
      <c r="A13" t="s">
        <v>110</v>
      </c>
      <c r="B13" s="21" t="str" cm="1">
        <f t="array" ref="B13:D13">_xlfn.TEXTSPLIT(A13,"_")</f>
        <v>RILEY</v>
      </c>
      <c r="C13" s="21" t="str">
        <v>SWEENY</v>
      </c>
      <c r="D13" s="21" t="str">
        <v>SE12053</v>
      </c>
    </row>
    <row r="14" spans="1:16" x14ac:dyDescent="0.35">
      <c r="A14" t="s">
        <v>111</v>
      </c>
      <c r="B14" s="21" t="str" cm="1">
        <f t="array" ref="B14:D14">_xlfn.TEXTSPLIT(A14,"_")</f>
        <v>ALEX</v>
      </c>
      <c r="C14" s="21" t="str">
        <v>WARD</v>
      </c>
      <c r="D14" s="21" t="str">
        <v>SE10902</v>
      </c>
    </row>
    <row r="15" spans="1:16" x14ac:dyDescent="0.35">
      <c r="A15" t="s">
        <v>112</v>
      </c>
      <c r="B15" s="21" t="str" cm="1">
        <f t="array" ref="B15:D15">_xlfn.TEXTSPLIT(A15,"_")</f>
        <v>PAT</v>
      </c>
      <c r="C15" s="21" t="str">
        <v>HANKS</v>
      </c>
      <c r="D15" s="21" t="str">
        <v>SE10360</v>
      </c>
    </row>
    <row r="16" spans="1:16" x14ac:dyDescent="0.35">
      <c r="A16" t="s">
        <v>113</v>
      </c>
      <c r="B16" s="21" t="str" cm="1">
        <f t="array" ref="B16:D16">_xlfn.TEXTSPLIT(A16,"_")</f>
        <v>JESSICA</v>
      </c>
      <c r="C16" s="21" t="str">
        <v>CRAIG</v>
      </c>
      <c r="D16" s="21" t="str">
        <v>SE12143</v>
      </c>
    </row>
    <row r="17" spans="1:4" x14ac:dyDescent="0.35">
      <c r="A17" t="s">
        <v>114</v>
      </c>
      <c r="B17" s="21" t="str" cm="1">
        <f t="array" ref="B17:D17">_xlfn.TEXTSPLIT(A17,"_")</f>
        <v>JAMIE</v>
      </c>
      <c r="C17" s="21" t="str">
        <v>WELCH</v>
      </c>
      <c r="D17" s="21" t="str">
        <v>SW10859</v>
      </c>
    </row>
    <row r="18" spans="1:4" x14ac:dyDescent="0.35">
      <c r="A18" t="s">
        <v>115</v>
      </c>
      <c r="B18" s="21" t="str" cm="1">
        <f t="array" ref="B18:D18">_xlfn.TEXTSPLIT(A18,"_")</f>
        <v>DREW</v>
      </c>
      <c r="C18" s="21" t="str">
        <v>WOMACK</v>
      </c>
      <c r="D18" s="21" t="str">
        <v>SW10377</v>
      </c>
    </row>
    <row r="19" spans="1:4" x14ac:dyDescent="0.35">
      <c r="A19" t="s">
        <v>116</v>
      </c>
      <c r="B19" s="21" t="str" cm="1">
        <f t="array" ref="B19:D19">_xlfn.TEXTSPLIT(A19,"_")</f>
        <v>ANGELA</v>
      </c>
      <c r="C19" s="21" t="str">
        <v>MACLEOD</v>
      </c>
      <c r="D19" s="21" t="str">
        <v>SW10649</v>
      </c>
    </row>
    <row r="20" spans="1:4" x14ac:dyDescent="0.35">
      <c r="A20" t="s">
        <v>117</v>
      </c>
      <c r="B20" s="21" t="str" cm="1">
        <f t="array" ref="B20:D20">_xlfn.TEXTSPLIT(A20,"_")</f>
        <v>KAREN</v>
      </c>
      <c r="C20" s="21" t="str">
        <v>D'AGUILAR</v>
      </c>
      <c r="D20" s="21" t="str">
        <v>SW10604</v>
      </c>
    </row>
    <row r="21" spans="1:4" x14ac:dyDescent="0.35">
      <c r="A21" t="s">
        <v>118</v>
      </c>
      <c r="B21" s="21" t="str" cm="1">
        <f t="array" ref="B21:D21">_xlfn.TEXTSPLIT(A21,"_")</f>
        <v>SAM</v>
      </c>
      <c r="C21" s="21" t="str">
        <v>JESSUP</v>
      </c>
      <c r="D21" s="21" t="str">
        <v>SW10730</v>
      </c>
    </row>
  </sheetData>
  <hyperlinks>
    <hyperlink ref="P1" location="'Cover Page'!A1" display="'back to Cover Page" xr:uid="{8095949B-920C-42C1-AAFB-E16090AEB44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1CD5F422E388419BB522F4435A2991" ma:contentTypeVersion="12" ma:contentTypeDescription="Create a new document." ma:contentTypeScope="" ma:versionID="e5c10cafc2c37c7f469fd87ac61c85e7">
  <xsd:schema xmlns:xsd="http://www.w3.org/2001/XMLSchema" xmlns:xs="http://www.w3.org/2001/XMLSchema" xmlns:p="http://schemas.microsoft.com/office/2006/metadata/properties" xmlns:ns2="e126d1a7-de2c-4ae3-80af-dc9ec7d9558b" xmlns:ns3="16c367a0-1ebe-4645-bffe-e50f3117a967" targetNamespace="http://schemas.microsoft.com/office/2006/metadata/properties" ma:root="true" ma:fieldsID="64cf9e92a51322bbdec604bdb87428eb" ns2:_="" ns3:_="">
    <xsd:import namespace="e126d1a7-de2c-4ae3-80af-dc9ec7d9558b"/>
    <xsd:import namespace="16c367a0-1ebe-4645-bffe-e50f3117a9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6d1a7-de2c-4ae3-80af-dc9ec7d95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c367a0-1ebe-4645-bffe-e50f3117a9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05788C-CCE3-43E2-B02F-684784C71F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6d1a7-de2c-4ae3-80af-dc9ec7d9558b"/>
    <ds:schemaRef ds:uri="16c367a0-1ebe-4645-bffe-e50f3117a9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2D493F-1B21-493B-8C3B-146983EC3056}">
  <ds:schemaRefs>
    <ds:schemaRef ds:uri="http://schemas.microsoft.com/sharepoint/v3/contenttype/forms"/>
  </ds:schemaRefs>
</ds:datastoreItem>
</file>

<file path=customXml/itemProps3.xml><?xml version="1.0" encoding="utf-8"?>
<ds:datastoreItem xmlns:ds="http://schemas.openxmlformats.org/officeDocument/2006/customXml" ds:itemID="{4542A510-48B6-43F9-AAB2-E3FA724FCB5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Cover Page</vt:lpstr>
      <vt:lpstr>All Sales</vt:lpstr>
      <vt:lpstr>North</vt:lpstr>
      <vt:lpstr>South</vt:lpstr>
      <vt:lpstr>East</vt:lpstr>
      <vt:lpstr>West</vt:lpstr>
      <vt:lpstr>Copy of All Sales</vt:lpstr>
      <vt:lpstr>Chart</vt:lpstr>
      <vt:lpstr>Sales Analysis</vt:lpstr>
      <vt:lpstr>New Staff</vt:lpstr>
      <vt:lpstr>Commission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2021-11-26T10:50:27Z</dcterms:created>
  <dcterms:modified xsi:type="dcterms:W3CDTF">2025-11-01T06:12:53Z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0x0101000E1CD5F422E388419BB522F4435A2991</vt:lpwstr>
  </property>
</Properties>
</file>